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heckCompatibility="1"/>
  <mc:AlternateContent xmlns:mc="http://schemas.openxmlformats.org/markup-compatibility/2006">
    <mc:Choice Requires="x15">
      <x15ac:absPath xmlns:x15ac="http://schemas.microsoft.com/office/spreadsheetml/2010/11/ac" url="/Users/oran.nin/Downloads/"/>
    </mc:Choice>
  </mc:AlternateContent>
  <xr:revisionPtr revIDLastSave="0" documentId="13_ncr:1_{56F39481-C858-6640-A6F8-A3B6B44E3065}" xr6:coauthVersionLast="47" xr6:coauthVersionMax="47" xr10:uidLastSave="{00000000-0000-0000-0000-000000000000}"/>
  <bookViews>
    <workbookView xWindow="0" yWindow="660" windowWidth="23260" windowHeight="12460" tabRatio="601" xr2:uid="{00000000-000D-0000-FFFF-FFFF00000000}"/>
  </bookViews>
  <sheets>
    <sheet name="Q Project_Option " sheetId="10" r:id="rId1"/>
    <sheet name="Cost Project" sheetId="13" r:id="rId2"/>
    <sheet name="Cost Runrate" sheetId="14" r:id="rId3"/>
    <sheet name="Final today" sheetId="15" r:id="rId4"/>
  </sheets>
  <definedNames>
    <definedName name="_xlnm.Print_Area" localSheetId="1">'Cost Project'!$A$1:$K$51</definedName>
    <definedName name="_xlnm.Print_Area" localSheetId="2">'Cost Runrate'!$A$1:$K$52</definedName>
    <definedName name="_xlnm.Print_Area" localSheetId="0">'Q Project_Option '!$A$1:$F$64</definedName>
    <definedName name="_xlnm.Print_Titles" localSheetId="0">'Q Project_Option '!$1:$20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4" i="14" l="1"/>
  <c r="J34" i="14"/>
  <c r="J33" i="14"/>
  <c r="F33" i="14"/>
  <c r="J32" i="14"/>
  <c r="F32" i="14"/>
  <c r="F40" i="14"/>
  <c r="F32" i="13"/>
  <c r="F33" i="13"/>
  <c r="F34" i="13"/>
  <c r="F39" i="13"/>
  <c r="F38" i="13"/>
  <c r="I2" i="15"/>
  <c r="J2" i="15" s="1"/>
  <c r="G4" i="15"/>
  <c r="C4" i="15"/>
  <c r="C5" i="15"/>
  <c r="C6" i="15"/>
  <c r="C8" i="15"/>
  <c r="C11" i="15"/>
  <c r="I12" i="15" l="1"/>
  <c r="J12" i="15" s="1"/>
  <c r="F12" i="15"/>
  <c r="G7" i="15"/>
  <c r="G6" i="15"/>
  <c r="G2" i="15"/>
  <c r="C7" i="15"/>
  <c r="C2" i="15"/>
  <c r="D4" i="15" s="1"/>
  <c r="J5" i="15"/>
  <c r="G9" i="15"/>
  <c r="J8" i="15"/>
  <c r="F15" i="15" l="1"/>
  <c r="G15" i="15" s="1"/>
  <c r="G12" i="15"/>
  <c r="C13" i="15"/>
  <c r="I13" i="15" s="1"/>
  <c r="C12" i="15"/>
  <c r="D2" i="15"/>
  <c r="C15" i="15" l="1"/>
  <c r="D15" i="15" s="1"/>
  <c r="D12" i="15"/>
  <c r="J13" i="15"/>
  <c r="I15" i="15"/>
  <c r="J15" i="15" s="1"/>
  <c r="F40" i="13" l="1"/>
  <c r="J32" i="13"/>
  <c r="J31" i="13"/>
  <c r="F31" i="13"/>
  <c r="J30" i="13"/>
  <c r="F6" i="14" l="1"/>
  <c r="J6" i="14"/>
  <c r="F7" i="14"/>
  <c r="J7" i="14"/>
  <c r="F8" i="14"/>
  <c r="J8" i="14"/>
  <c r="F11" i="14"/>
  <c r="J11" i="14"/>
  <c r="F12" i="14"/>
  <c r="J12" i="14"/>
  <c r="F13" i="14"/>
  <c r="J13" i="14"/>
  <c r="F16" i="14"/>
  <c r="J16" i="14"/>
  <c r="F17" i="14"/>
  <c r="J17" i="14"/>
  <c r="F18" i="14"/>
  <c r="F19" i="14" s="1"/>
  <c r="J18" i="14"/>
  <c r="J19" i="14"/>
  <c r="I19" i="14" s="1"/>
  <c r="H19" i="14" s="1"/>
  <c r="F21" i="14"/>
  <c r="J21" i="14"/>
  <c r="F22" i="14"/>
  <c r="J22" i="14"/>
  <c r="F23" i="14"/>
  <c r="J23" i="14"/>
  <c r="J31" i="14"/>
  <c r="F26" i="14"/>
  <c r="J26" i="14"/>
  <c r="F27" i="14"/>
  <c r="J27" i="14"/>
  <c r="J30" i="14"/>
  <c r="F35" i="14"/>
  <c r="J35" i="14"/>
  <c r="F39" i="14"/>
  <c r="F41" i="14"/>
  <c r="F6" i="13"/>
  <c r="J6" i="13"/>
  <c r="F7" i="13"/>
  <c r="J7" i="13"/>
  <c r="F8" i="13"/>
  <c r="J8" i="13"/>
  <c r="F11" i="13"/>
  <c r="J11" i="13"/>
  <c r="F12" i="13"/>
  <c r="J12" i="13"/>
  <c r="F13" i="13"/>
  <c r="J13" i="13"/>
  <c r="F16" i="13"/>
  <c r="J16" i="13"/>
  <c r="F17" i="13"/>
  <c r="J17" i="13"/>
  <c r="F18" i="13"/>
  <c r="J18" i="13"/>
  <c r="F21" i="13"/>
  <c r="J21" i="13"/>
  <c r="F22" i="13"/>
  <c r="J22" i="13"/>
  <c r="F23" i="13"/>
  <c r="J23" i="13"/>
  <c r="F26" i="13"/>
  <c r="J26" i="13"/>
  <c r="J27" i="13" s="1"/>
  <c r="J29" i="13"/>
  <c r="J35" i="13" s="1"/>
  <c r="J34" i="13"/>
  <c r="J36" i="14" l="1"/>
  <c r="F28" i="14"/>
  <c r="J24" i="14"/>
  <c r="F9" i="14"/>
  <c r="F24" i="13"/>
  <c r="F19" i="13"/>
  <c r="F24" i="14"/>
  <c r="J14" i="14"/>
  <c r="F14" i="14"/>
  <c r="I14" i="14" s="1"/>
  <c r="H14" i="14" s="1"/>
  <c r="J28" i="14"/>
  <c r="I24" i="14"/>
  <c r="H24" i="14" s="1"/>
  <c r="J9" i="14"/>
  <c r="F9" i="13"/>
  <c r="J9" i="13"/>
  <c r="F14" i="13"/>
  <c r="J19" i="13"/>
  <c r="J24" i="13"/>
  <c r="J14" i="13"/>
  <c r="I19" i="13" l="1"/>
  <c r="H19" i="13" s="1"/>
  <c r="I9" i="14"/>
  <c r="H9" i="14" s="1"/>
  <c r="I24" i="13"/>
  <c r="H24" i="13" s="1"/>
  <c r="I9" i="13"/>
  <c r="H9" i="13" s="1"/>
  <c r="J46" i="13"/>
  <c r="J47" i="13" s="1"/>
  <c r="J48" i="13" s="1"/>
  <c r="I14" i="13"/>
  <c r="H14" i="13" s="1"/>
  <c r="J47" i="14"/>
  <c r="F38" i="14" s="1"/>
  <c r="F42" i="14" s="1"/>
  <c r="F27" i="13"/>
  <c r="J48" i="14" l="1"/>
  <c r="J49" i="14" s="1"/>
  <c r="F45" i="14"/>
  <c r="F44" i="14"/>
  <c r="E38" i="14"/>
  <c r="E31" i="14"/>
  <c r="F31" i="14" s="1"/>
  <c r="E30" i="14"/>
  <c r="F30" i="14" s="1"/>
  <c r="F36" i="14" s="1"/>
  <c r="F44" i="13"/>
  <c r="F37" i="13"/>
  <c r="F41" i="13" s="1"/>
  <c r="E37" i="13"/>
  <c r="E29" i="13"/>
  <c r="F29" i="13" s="1"/>
  <c r="F43" i="13"/>
  <c r="E30" i="13"/>
  <c r="F30" i="13" s="1"/>
  <c r="I28" i="14"/>
  <c r="H28" i="14" s="1"/>
  <c r="I27" i="13"/>
  <c r="H27" i="13" s="1"/>
  <c r="F35" i="13" l="1"/>
  <c r="I36" i="14"/>
  <c r="H36" i="14" s="1"/>
  <c r="F47" i="14"/>
  <c r="I47" i="14" s="1"/>
  <c r="H47" i="14" s="1"/>
  <c r="I35" i="13"/>
  <c r="H35" i="13" s="1"/>
  <c r="F46" i="13"/>
  <c r="I46" i="13" s="1"/>
  <c r="H46" i="13" s="1"/>
  <c r="F48" i="10"/>
  <c r="F50" i="10" l="1"/>
  <c r="F51" i="10" s="1"/>
  <c r="F52" i="10" s="1"/>
  <c r="A53" i="10" s="1"/>
</calcChain>
</file>

<file path=xl/sharedStrings.xml><?xml version="1.0" encoding="utf-8"?>
<sst xmlns="http://schemas.openxmlformats.org/spreadsheetml/2006/main" count="284" uniqueCount="133">
  <si>
    <t>ราคารวม</t>
  </si>
  <si>
    <t xml:space="preserve">     ราคาคงเหลือ</t>
  </si>
  <si>
    <t>ภาษีมูลค่าเพิ่ม 7%</t>
  </si>
  <si>
    <t>รวมเป็นเงินทั้งสิ้น</t>
  </si>
  <si>
    <t>ผู้ซื้อสินค้า</t>
  </si>
  <si>
    <t>ข้าพเจ้ายอมรับราคา และเงื่อนไขต่างๆ ตามที่เสนอ และอนุมัติให้สั่งซื้อตามใบเสนอราคานี้</t>
  </si>
  <si>
    <t xml:space="preserve">             (                                                            ) ชื่อ-นามสกุล เป็นตัวบรรจง</t>
  </si>
  <si>
    <t>เสนอราคาโดย</t>
  </si>
  <si>
    <t xml:space="preserve">        </t>
  </si>
  <si>
    <t>บริษัทฯ มีความยินดีในการเสนอราคา สินค้าและบริการ พร้อมเงื่อนไขต่างๆ ดังมีรายละเอียดที่แสดงในเอกสารนี้</t>
  </si>
  <si>
    <t>NO.</t>
  </si>
  <si>
    <t>Description</t>
  </si>
  <si>
    <t>QTY.</t>
  </si>
  <si>
    <t>Total Price</t>
  </si>
  <si>
    <t>Attn :</t>
  </si>
  <si>
    <t>Project :</t>
  </si>
  <si>
    <t>Company :</t>
  </si>
  <si>
    <t>Part No.</t>
  </si>
  <si>
    <t>สกุลเงิน/ Exchange Rate  : บาท</t>
  </si>
  <si>
    <t xml:space="preserve">          - Cost Sheet -</t>
  </si>
  <si>
    <t>Customer:</t>
  </si>
  <si>
    <t>Project:</t>
  </si>
  <si>
    <t>Sales:</t>
  </si>
  <si>
    <t>No.</t>
  </si>
  <si>
    <t>Supplier</t>
  </si>
  <si>
    <t>Qty</t>
  </si>
  <si>
    <t>Cost (Baht)</t>
  </si>
  <si>
    <t>Warranty (Month)</t>
  </si>
  <si>
    <t>Selling Price (Baht)</t>
  </si>
  <si>
    <t>Remark</t>
  </si>
  <si>
    <t>Unit</t>
  </si>
  <si>
    <t>Total</t>
  </si>
  <si>
    <t>Project</t>
  </si>
  <si>
    <t>Hardware Products-Inhouse (อุปกรณ์ฮาร์ดแวร์ที่ SCM ผลิตเอง หรือเป็น Distributor)</t>
  </si>
  <si>
    <t>ชื่อบริษัท</t>
  </si>
  <si>
    <t>ยี่ห้อ/รุ่นของอุปกรณ์</t>
  </si>
  <si>
    <t>Total Hardware InHouse</t>
  </si>
  <si>
    <t>GP</t>
  </si>
  <si>
    <t>Hardware Products-Outside (อุปกรณ์ฮาร์ดแวร์ที่ต้องสั่งซื้อจากภายนอก)</t>
  </si>
  <si>
    <t>Ref Quotation-No.</t>
  </si>
  <si>
    <t>Total Hardware Outside</t>
  </si>
  <si>
    <t>Software Products-InHouse  (ซอฟต์แวร์ที่ SCM ผลิตเอง หรือเป็น Distributor )</t>
  </si>
  <si>
    <t>ชื่อซอฟต์แวร์</t>
  </si>
  <si>
    <t>Total Software InHouse</t>
  </si>
  <si>
    <t>Software Products-Outside (ซอฟต์แวร์ที่ต้องสั่งซื้อจากภายนอก)</t>
  </si>
  <si>
    <t>Total Software Outside</t>
  </si>
  <si>
    <t xml:space="preserve">Service-Inhouse (ค่าแรงงานของหน่วยงานภายใน SCM) </t>
  </si>
  <si>
    <t>***</t>
  </si>
  <si>
    <t>Project Mgt (1% ของราคาขาย)</t>
  </si>
  <si>
    <t>Postsales</t>
  </si>
  <si>
    <t>การติดตั้งระบบ</t>
  </si>
  <si>
    <t>ค่าบริการหลังการติดตั้ง</t>
  </si>
  <si>
    <t>Total Service InHouse</t>
  </si>
  <si>
    <t>Service-Outside (ค่าจ้างแรงงาน-บริการจากนอกบริษัท)</t>
  </si>
  <si>
    <t>Total Service Outside</t>
  </si>
  <si>
    <t>Other Expenses (ค่าใช้จ่ายอื่นๆ ที่จำเป็น แต่ไม่แสดงในการเสนอราคา)</t>
  </si>
  <si>
    <t>พันธวนิช</t>
  </si>
  <si>
    <t>ค่าธรรมเนียม ( 1% ของราคาขาย)</t>
  </si>
  <si>
    <t>N/A</t>
  </si>
  <si>
    <t>(ค่าธรรมเนียมตลาดกลาง)</t>
  </si>
  <si>
    <t>Total Other Expense</t>
  </si>
  <si>
    <t>Interest &amp; Risk (ไม่แสดงในการเสนอราคา)</t>
  </si>
  <si>
    <t>Percent</t>
  </si>
  <si>
    <t xml:space="preserve">ดอกเบี้ยโครงการ </t>
  </si>
  <si>
    <t>(ดอกเบี้ยจากการเก็บเงินล่าช้า)</t>
  </si>
  <si>
    <t>สำรองค่าปรับ (เป็น % ของราคาขาย)</t>
  </si>
  <si>
    <t>(สำรองค่าปรับจากเงื่อนไขของลูกค้า)</t>
  </si>
  <si>
    <t>&lt;margin amount&gt;</t>
  </si>
  <si>
    <t>&lt;Selling Price&gt;</t>
  </si>
  <si>
    <t xml:space="preserve"> Total ( *exclude VAT )</t>
  </si>
  <si>
    <t>GP 1</t>
  </si>
  <si>
    <t>Note: All approvals are needed before going 
           next steps.</t>
  </si>
  <si>
    <t>7% VAT --&gt;</t>
  </si>
  <si>
    <t>-</t>
  </si>
  <si>
    <t>Grand Total  &gt;&gt;</t>
  </si>
  <si>
    <t>Sales Officer:</t>
  </si>
  <si>
    <t>อนุมัติโดย</t>
  </si>
  <si>
    <t>Date</t>
  </si>
  <si>
    <t>สำรองค่ากิจกรรมส่งเสริมการขาย</t>
  </si>
  <si>
    <t>Approved by :</t>
  </si>
  <si>
    <t>Rejection reason :</t>
  </si>
  <si>
    <t>Date:</t>
  </si>
  <si>
    <t>ระยะเวลาประกัน / Warranty  :  -</t>
  </si>
  <si>
    <t>เงื่อนไขเพิ่มเติม / Conditions :  -</t>
  </si>
  <si>
    <t>ยืนยันราคา/ Validity :   -</t>
  </si>
  <si>
    <t>ส่งสินค้า / Delivery within :  -</t>
  </si>
  <si>
    <t>Remark:</t>
  </si>
  <si>
    <t>เช่น ค่าเช่าสถานที่, เช่าอุปกรณ์</t>
  </si>
  <si>
    <t xml:space="preserve">Date / วันที่  :  </t>
  </si>
  <si>
    <t xml:space="preserve">Quot. No. / เลขที่ :  </t>
  </si>
  <si>
    <t>ชำระเงิน / Term of Payment :    -</t>
  </si>
  <si>
    <t>PR No.</t>
  </si>
  <si>
    <t>ระบุวันที่ตามใบเสนอราคา</t>
  </si>
  <si>
    <t>ระบุชื่อ Sales ทุกครั้ง</t>
  </si>
  <si>
    <t>Unit Price</t>
  </si>
  <si>
    <r>
      <t xml:space="preserve">ลงชื่อ  </t>
    </r>
    <r>
      <rPr>
        <u/>
        <sz val="12"/>
        <rFont val="Tahoma"/>
        <family val="2"/>
      </rPr>
      <t xml:space="preserve">                                                                          </t>
    </r>
    <r>
      <rPr>
        <sz val="12"/>
        <rFont val="Tahoma"/>
        <family val="2"/>
      </rPr>
      <t xml:space="preserve"> ผู้มีอำนาจลงนาม</t>
    </r>
  </si>
  <si>
    <r>
      <t xml:space="preserve">วันที่อนุมัติ </t>
    </r>
    <r>
      <rPr>
        <u/>
        <sz val="12"/>
        <rFont val="Tahoma"/>
        <family val="2"/>
      </rPr>
      <t xml:space="preserve">                                                                 .</t>
    </r>
  </si>
  <si>
    <t>Back Office (2% ของราคาขาย)</t>
  </si>
  <si>
    <t>SCM BC</t>
  </si>
  <si>
    <t>ค่าที่ปรึกษา</t>
  </si>
  <si>
    <t>ค่าขนส่ง</t>
  </si>
  <si>
    <t>(กำไรไม่ต่ำกว่า 20% จึงจะสามารถให้ค่าทีปรึกษาได้ครับ และหัวหน้าเป็นคน approved ยอดที่จะให้ครับ)</t>
  </si>
  <si>
    <t>บริษัท เอสซีเอ็ม บีทูบี จำกัด</t>
  </si>
  <si>
    <t>92/54-55 ชั้นที่ 19 อาคารสาธรธานี 2 ถ.สาทรเหนือ แขวงสีลม เขตบางรัก กรุงเทพมหานคร 10500</t>
  </si>
  <si>
    <t>โทร. 0-2116-4213    เลขประจำตัวผู้เสียภาษี 0105569003087</t>
  </si>
  <si>
    <t>SCM B2B Co., Ltd</t>
  </si>
  <si>
    <t>Tel. 0-2116-4213   TAX ID: 0105569003087</t>
  </si>
  <si>
    <t>92/54-55 Sathorn Thani Bl.2 FL.19, North Sathorn Rd., Silom, Bangrak, Bangkok 10500</t>
  </si>
  <si>
    <t>"บริษัท เอสซีเอ็ม บีทูบี จำกัด ขอสงวนสิทธิ์ในการเปลี่ยนแปลงระยะเวลาการส่งมอบที่อาจล่าช้ากว่ากำหนด อันเนื่องมาจากผู้ผลิตสินค้า ซึ่งอาจมีปัญหาด้านการผลิตและส่งมอบสินค้าที่บริษัทฯไม่สามารถควบคุมได้"</t>
  </si>
  <si>
    <t>Project Mgt (0.5% ของราคาขาย)</t>
  </si>
  <si>
    <t>Back Office (0.5% ของราคาขาย)</t>
  </si>
  <si>
    <t>SCM Tech</t>
  </si>
  <si>
    <t>ค่าเลี้ยงรับรอง</t>
  </si>
  <si>
    <t>&gt;&gt;&gt;</t>
  </si>
  <si>
    <t xml:space="preserve">Net Profit </t>
  </si>
  <si>
    <t xml:space="preserve">Commission </t>
  </si>
  <si>
    <t>Interest</t>
  </si>
  <si>
    <t>B2B</t>
  </si>
  <si>
    <t>Entertain 1.5%</t>
  </si>
  <si>
    <t>Oper Cost  1 %</t>
  </si>
  <si>
    <t>Backoffice  2%</t>
  </si>
  <si>
    <t>MKT</t>
  </si>
  <si>
    <r>
      <t xml:space="preserve">Cost </t>
    </r>
    <r>
      <rPr>
        <sz val="10"/>
        <color theme="1"/>
        <rFont val="Aptos"/>
        <family val="2"/>
      </rPr>
      <t>- HW SW Service</t>
    </r>
  </si>
  <si>
    <t>Revenue</t>
  </si>
  <si>
    <t>Tech</t>
  </si>
  <si>
    <t>SCM Group</t>
  </si>
  <si>
    <t>Service</t>
  </si>
  <si>
    <t>Siteprep</t>
  </si>
  <si>
    <t>Kritsada</t>
  </si>
  <si>
    <t>หากต้องการรายละเอียดเพิ่มเติมกรุณาติดต่อคุณ โชษิตา โรจน์จิตติรัตน์ โทร. 0-2116-4213 , มือถือ. 065-505-6565, Email: Chosita.roj@scmtechnologies.co.th</t>
  </si>
  <si>
    <r>
      <t xml:space="preserve">                                               </t>
    </r>
    <r>
      <rPr>
        <sz val="12"/>
        <rFont val="Tahoma"/>
        <family val="2"/>
      </rPr>
      <t xml:space="preserve">Date </t>
    </r>
    <r>
      <rPr>
        <u/>
        <sz val="12"/>
        <rFont val="Tahoma"/>
        <family val="2"/>
      </rPr>
      <t>:</t>
    </r>
    <r>
      <rPr>
        <sz val="12"/>
        <rFont val="Tahoma"/>
        <family val="2"/>
      </rPr>
      <t xml:space="preserve"> </t>
    </r>
  </si>
  <si>
    <t xml:space="preserve">          (นาง สุทิศา เจริญสุข)</t>
  </si>
  <si>
    <t xml:space="preserve">     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</si>
</sst>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(* #,##0.00_);_(* \(#,##0.00\);_(* &quot;-&quot;??_);_(@_)"/>
    <numFmt numFmtId="164" formatCode="&quot;฿&quot;#,##0;\-&quot;฿&quot;#,##0"/>
    <numFmt numFmtId="165" formatCode="_-* #,##0.00_-;\-* #,##0.00_-;_-* &quot;-&quot;??_-;_-@_-"/>
    <numFmt numFmtId="166" formatCode="_(* #,##0.0_);_(* \(#,##0.00\);_(* &quot;-&quot;??_);_(@_)"/>
    <numFmt numFmtId="167" formatCode="General_)"/>
    <numFmt numFmtId="168" formatCode="0.000"/>
    <numFmt numFmtId="169" formatCode="&quot;fl&quot;#,##0_);\(&quot;fl&quot;#,##0\)"/>
    <numFmt numFmtId="170" formatCode="&quot;fl&quot;#,##0_);[Red]\(&quot;fl&quot;#,##0\)"/>
    <numFmt numFmtId="171" formatCode="&quot;fl&quot;#,##0.00_);\(&quot;fl&quot;#,##0.00\)"/>
    <numFmt numFmtId="172" formatCode="hh:mm:ss\ AM/PM_)"/>
    <numFmt numFmtId="173" formatCode="0.00_)"/>
    <numFmt numFmtId="174" formatCode="\60\4\7\:"/>
    <numFmt numFmtId="175" formatCode="&quot;fl&quot;#,##0.00_);[Red]\(&quot;fl&quot;#,##0.00\)"/>
    <numFmt numFmtId="176" formatCode="_(&quot;fl&quot;* #,##0_);_(&quot;fl&quot;* \(#,##0\);_(&quot;fl&quot;* &quot;-&quot;_);_(@_)"/>
    <numFmt numFmtId="177" formatCode="_-&quot;$&quot;* #,##0_-;\-&quot;$&quot;* #,##0_-;_-&quot;$&quot;* &quot;-&quot;_-;_-@_-"/>
    <numFmt numFmtId="178" formatCode="_-&quot;$&quot;* #,##0.00_-;\-&quot;$&quot;* #,##0.00_-;_-&quot;$&quot;* &quot;-&quot;??_-;_-@_-"/>
    <numFmt numFmtId="179" formatCode="#,##0.0_);\(#,##0.0\)"/>
    <numFmt numFmtId="180" formatCode="0_)"/>
    <numFmt numFmtId="181" formatCode="#,##0.00;[Red]\(#,##0.00\)"/>
    <numFmt numFmtId="182" formatCode="&quot;R&quot;\ #,##0.00;&quot;R&quot;\ \-#,##0.00"/>
    <numFmt numFmtId="183" formatCode="_(* #,##0.00_);_(* \(#,##0.00\);_(* \-??_);_(@_)"/>
    <numFmt numFmtId="184" formatCode="[$-1870000]d/mm/yyyy;@"/>
    <numFmt numFmtId="185" formatCode="#,##0_ ;[Red]\-#,##0\ "/>
    <numFmt numFmtId="186" formatCode="_(* #,##0_);_(* \(#,##0\);_(* &quot;-&quot;??_);_(@_)"/>
    <numFmt numFmtId="187" formatCode="_-* #,##0_-;\-* #,##0_-;_-* &quot;-&quot;??_-;_-@_-"/>
    <numFmt numFmtId="188" formatCode="0.0%"/>
  </numFmts>
  <fonts count="85">
    <font>
      <sz val="14"/>
      <name val="Cordia New"/>
      <charset val="222"/>
    </font>
    <font>
      <sz val="14"/>
      <name val="Cordia New"/>
      <family val="2"/>
    </font>
    <font>
      <b/>
      <i/>
      <sz val="14"/>
      <name val="Tahoma"/>
      <family val="2"/>
    </font>
    <font>
      <sz val="14"/>
      <name val="Tahoma"/>
      <family val="2"/>
    </font>
    <font>
      <b/>
      <sz val="10"/>
      <name val="Tahoma"/>
      <family val="2"/>
    </font>
    <font>
      <sz val="12"/>
      <name val="Tahoma"/>
      <family val="2"/>
    </font>
    <font>
      <sz val="9"/>
      <name val="Tahoma"/>
      <family val="2"/>
    </font>
    <font>
      <sz val="10"/>
      <name val="Helv"/>
      <family val="2"/>
    </font>
    <font>
      <sz val="14"/>
      <name val="Cordia New"/>
      <family val="2"/>
    </font>
    <font>
      <sz val="10"/>
      <name val="Arial"/>
      <family val="2"/>
    </font>
    <font>
      <sz val="14"/>
      <name val="Cordia New"/>
      <family val="2"/>
    </font>
    <font>
      <sz val="12"/>
      <name val="Times New Roman"/>
      <family val="1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MS Sans Serif"/>
      <family val="2"/>
      <charset val="222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</font>
    <font>
      <sz val="8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b/>
      <sz val="8"/>
      <name val="MS Sans Serif"/>
      <family val="2"/>
      <charset val="222"/>
    </font>
    <font>
      <sz val="12"/>
      <name val="Helv"/>
    </font>
    <font>
      <sz val="12"/>
      <color indexed="9"/>
      <name val="Helv"/>
    </font>
    <font>
      <sz val="10"/>
      <name val="Tms Rmn"/>
    </font>
    <font>
      <sz val="8"/>
      <name val="Wingdings"/>
      <charset val="2"/>
    </font>
    <font>
      <sz val="8"/>
      <name val="MS Sans Serif"/>
      <family val="2"/>
      <charset val="222"/>
    </font>
    <font>
      <b/>
      <sz val="8"/>
      <color indexed="8"/>
      <name val="Helv"/>
    </font>
    <font>
      <sz val="10"/>
      <name val="Arial"/>
      <family val="2"/>
      <charset val="222"/>
    </font>
    <font>
      <sz val="9"/>
      <name val="Arial"/>
      <family val="2"/>
    </font>
    <font>
      <sz val="10"/>
      <name val="Helv"/>
    </font>
    <font>
      <u/>
      <sz val="14"/>
      <color theme="10"/>
      <name val="Cordia New"/>
      <family val="2"/>
    </font>
    <font>
      <u/>
      <sz val="14"/>
      <color theme="11"/>
      <name val="Cordia New"/>
      <family val="2"/>
    </font>
    <font>
      <b/>
      <sz val="12"/>
      <color theme="1"/>
      <name val="Arial"/>
      <family val="2"/>
    </font>
    <font>
      <sz val="16"/>
      <name val="Tahoma"/>
      <family val="2"/>
    </font>
    <font>
      <b/>
      <sz val="22"/>
      <name val="Tahoma"/>
      <family val="2"/>
    </font>
    <font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theme="3"/>
      <name val="Arial"/>
      <family val="2"/>
    </font>
    <font>
      <b/>
      <u/>
      <sz val="12"/>
      <name val="Arial"/>
      <family val="2"/>
    </font>
    <font>
      <b/>
      <sz val="12"/>
      <color theme="6"/>
      <name val="Arial"/>
      <family val="2"/>
    </font>
    <font>
      <b/>
      <sz val="12"/>
      <color rgb="FF0070C0"/>
      <name val="Arial"/>
      <family val="2"/>
    </font>
    <font>
      <sz val="12"/>
      <color rgb="FF0070C0"/>
      <name val="Arial"/>
      <family val="2"/>
    </font>
    <font>
      <i/>
      <sz val="12"/>
      <name val="Arial"/>
      <family val="2"/>
    </font>
    <font>
      <i/>
      <sz val="14"/>
      <name val="Arial"/>
      <family val="2"/>
    </font>
    <font>
      <b/>
      <i/>
      <sz val="12"/>
      <name val="Arial"/>
      <family val="2"/>
    </font>
    <font>
      <b/>
      <i/>
      <sz val="14"/>
      <name val="Arial"/>
      <family val="2"/>
    </font>
    <font>
      <b/>
      <sz val="18"/>
      <name val="Arial"/>
      <family val="2"/>
    </font>
    <font>
      <b/>
      <sz val="13"/>
      <name val="Tahoma"/>
      <family val="2"/>
    </font>
    <font>
      <b/>
      <sz val="12"/>
      <name val="Tahoma"/>
      <family val="2"/>
    </font>
    <font>
      <b/>
      <sz val="16"/>
      <name val="Tahoma"/>
      <family val="2"/>
    </font>
    <font>
      <sz val="12"/>
      <color theme="3" tint="-0.249977111117893"/>
      <name val="Tahoma"/>
      <family val="2"/>
    </font>
    <font>
      <b/>
      <sz val="14"/>
      <color theme="0"/>
      <name val="Tahoma"/>
      <family val="2"/>
    </font>
    <font>
      <sz val="12"/>
      <color indexed="8"/>
      <name val="Tahoma"/>
      <family val="2"/>
    </font>
    <font>
      <b/>
      <sz val="12"/>
      <color indexed="8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i/>
      <sz val="14"/>
      <name val="Tahoma"/>
      <family val="2"/>
    </font>
    <font>
      <sz val="9"/>
      <color indexed="8"/>
      <name val="Tahoma"/>
      <family val="2"/>
    </font>
    <font>
      <b/>
      <sz val="12"/>
      <color rgb="FFFF0000"/>
      <name val="Tahoma"/>
      <family val="2"/>
    </font>
    <font>
      <b/>
      <u/>
      <sz val="12"/>
      <name val="Tahoma"/>
      <family val="2"/>
    </font>
    <font>
      <u/>
      <sz val="12"/>
      <name val="Tahoma"/>
      <family val="2"/>
    </font>
    <font>
      <sz val="11"/>
      <name val="Tahoma"/>
      <family val="2"/>
    </font>
    <font>
      <b/>
      <sz val="11"/>
      <name val="Tohoma"/>
    </font>
    <font>
      <b/>
      <sz val="9"/>
      <name val="Tohoma"/>
    </font>
    <font>
      <sz val="11"/>
      <color theme="1"/>
      <name val="Calibri"/>
      <family val="2"/>
      <charset val="222"/>
      <scheme val="minor"/>
    </font>
    <font>
      <sz val="11"/>
      <color theme="1"/>
      <name val="Aptos"/>
      <family val="2"/>
    </font>
    <font>
      <sz val="10"/>
      <color theme="0" tint="-0.499984740745262"/>
      <name val="Aptos"/>
      <family val="2"/>
    </font>
    <font>
      <sz val="10"/>
      <color rgb="FF000000"/>
      <name val="Aptos"/>
      <family val="2"/>
    </font>
    <font>
      <b/>
      <sz val="11"/>
      <color theme="1"/>
      <name val="Aptos"/>
      <family val="2"/>
    </font>
    <font>
      <sz val="8"/>
      <color theme="0"/>
      <name val="Aptos"/>
      <family val="2"/>
    </font>
    <font>
      <b/>
      <sz val="11"/>
      <color rgb="FF000000"/>
      <name val="Aptos"/>
      <family val="2"/>
    </font>
    <font>
      <b/>
      <sz val="10"/>
      <name val="Aptos"/>
      <family val="2"/>
    </font>
    <font>
      <sz val="9"/>
      <color rgb="FF000000"/>
      <name val="Aptos"/>
      <family val="2"/>
      <charset val="22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u/>
      <sz val="11"/>
      <color theme="1"/>
      <name val="Aptos"/>
      <family val="2"/>
    </font>
    <font>
      <b/>
      <u val="singleAccounting"/>
      <sz val="11"/>
      <color theme="1"/>
      <name val="Aptos"/>
      <family val="2"/>
    </font>
    <font>
      <b/>
      <sz val="11"/>
      <color theme="0"/>
      <name val="Aptos"/>
      <family val="2"/>
    </font>
    <font>
      <b/>
      <sz val="11"/>
      <color rgb="FFCC99FF"/>
      <name val="Aptos"/>
      <family val="2"/>
    </font>
    <font>
      <b/>
      <u/>
      <sz val="11"/>
      <color rgb="FFFFC000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darkVertical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6E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DCDB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</borders>
  <cellStyleXfs count="256">
    <xf numFmtId="0" fontId="0" fillId="0" borderId="0"/>
    <xf numFmtId="0" fontId="8" fillId="0" borderId="0"/>
    <xf numFmtId="165" fontId="1" fillId="0" borderId="0" applyFont="0" applyFill="0" applyBorder="0" applyAlignment="0" applyProtection="0"/>
    <xf numFmtId="0" fontId="7" fillId="0" borderId="0"/>
    <xf numFmtId="0" fontId="7" fillId="0" borderId="0"/>
    <xf numFmtId="0" fontId="10" fillId="0" borderId="0"/>
    <xf numFmtId="0" fontId="7" fillId="0" borderId="0"/>
    <xf numFmtId="0" fontId="9" fillId="0" borderId="0" applyNumberFormat="0" applyFill="0" applyBorder="0" applyAlignment="0" applyProtection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horizontal="center" wrapText="1"/>
      <protection locked="0"/>
    </xf>
    <xf numFmtId="166" fontId="12" fillId="0" borderId="0" applyFill="0" applyBorder="0" applyAlignment="0"/>
    <xf numFmtId="167" fontId="12" fillId="0" borderId="0" applyFill="0" applyBorder="0" applyAlignment="0"/>
    <xf numFmtId="168" fontId="12" fillId="0" borderId="0" applyFill="0" applyBorder="0" applyAlignment="0"/>
    <xf numFmtId="169" fontId="12" fillId="0" borderId="0" applyFill="0" applyBorder="0" applyAlignment="0"/>
    <xf numFmtId="170" fontId="12" fillId="0" borderId="0" applyFill="0" applyBorder="0" applyAlignment="0"/>
    <xf numFmtId="166" fontId="12" fillId="0" borderId="0" applyFill="0" applyBorder="0" applyAlignment="0"/>
    <xf numFmtId="171" fontId="12" fillId="0" borderId="0" applyFill="0" applyBorder="0" applyAlignment="0"/>
    <xf numFmtId="167" fontId="12" fillId="0" borderId="0" applyFill="0" applyBorder="0" applyAlignment="0"/>
    <xf numFmtId="43" fontId="10" fillId="0" borderId="0" applyFont="0" applyFill="0" applyBorder="0" applyAlignment="0" applyProtection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72" fontId="9" fillId="0" borderId="0"/>
    <xf numFmtId="166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9" fillId="0" borderId="0" applyNumberFormat="0" applyAlignment="0">
      <alignment horizontal="left"/>
    </xf>
    <xf numFmtId="0" fontId="20" fillId="0" borderId="0" applyNumberFormat="0" applyAlignment="0"/>
    <xf numFmtId="167" fontId="12" fillId="0" borderId="0" applyFont="0" applyFill="0" applyBorder="0" applyAlignment="0" applyProtection="0"/>
    <xf numFmtId="14" fontId="13" fillId="0" borderId="0" applyFill="0" applyBorder="0" applyAlignment="0"/>
    <xf numFmtId="38" fontId="14" fillId="0" borderId="15">
      <alignment vertical="center"/>
    </xf>
    <xf numFmtId="166" fontId="12" fillId="0" borderId="0" applyFill="0" applyBorder="0" applyAlignment="0"/>
    <xf numFmtId="167" fontId="12" fillId="0" borderId="0" applyFill="0" applyBorder="0" applyAlignment="0"/>
    <xf numFmtId="166" fontId="12" fillId="0" borderId="0" applyFill="0" applyBorder="0" applyAlignment="0"/>
    <xf numFmtId="171" fontId="12" fillId="0" borderId="0" applyFill="0" applyBorder="0" applyAlignment="0"/>
    <xf numFmtId="167" fontId="12" fillId="0" borderId="0" applyFill="0" applyBorder="0" applyAlignment="0"/>
    <xf numFmtId="0" fontId="21" fillId="0" borderId="0" applyNumberFormat="0" applyAlignment="0">
      <alignment horizontal="left"/>
    </xf>
    <xf numFmtId="183" fontId="29" fillId="0" borderId="0" applyFill="0" applyBorder="0" applyAlignment="0" applyProtection="0"/>
    <xf numFmtId="38" fontId="15" fillId="2" borderId="0" applyNumberFormat="0" applyBorder="0" applyAlignment="0" applyProtection="0"/>
    <xf numFmtId="0" fontId="16" fillId="0" borderId="16" applyNumberFormat="0" applyAlignment="0" applyProtection="0">
      <alignment horizontal="left" vertical="center"/>
    </xf>
    <xf numFmtId="0" fontId="16" fillId="0" borderId="17">
      <alignment horizontal="left" vertical="center"/>
    </xf>
    <xf numFmtId="0" fontId="22" fillId="0" borderId="18">
      <alignment horizontal="center"/>
    </xf>
    <xf numFmtId="0" fontId="22" fillId="0" borderId="0">
      <alignment horizontal="center"/>
    </xf>
    <xf numFmtId="10" fontId="15" fillId="3" borderId="12" applyNumberFormat="0" applyBorder="0" applyAlignment="0" applyProtection="0"/>
    <xf numFmtId="179" fontId="23" fillId="4" borderId="0"/>
    <xf numFmtId="166" fontId="12" fillId="0" borderId="0" applyFill="0" applyBorder="0" applyAlignment="0"/>
    <xf numFmtId="167" fontId="12" fillId="0" borderId="0" applyFill="0" applyBorder="0" applyAlignment="0"/>
    <xf numFmtId="166" fontId="12" fillId="0" borderId="0" applyFill="0" applyBorder="0" applyAlignment="0"/>
    <xf numFmtId="171" fontId="12" fillId="0" borderId="0" applyFill="0" applyBorder="0" applyAlignment="0"/>
    <xf numFmtId="167" fontId="12" fillId="0" borderId="0" applyFill="0" applyBorder="0" applyAlignment="0"/>
    <xf numFmtId="179" fontId="24" fillId="5" borderId="0"/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81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73" fontId="17" fillId="0" borderId="0"/>
    <xf numFmtId="0" fontId="9" fillId="0" borderId="0"/>
    <xf numFmtId="0" fontId="9" fillId="0" borderId="0"/>
    <xf numFmtId="0" fontId="9" fillId="0" borderId="0"/>
    <xf numFmtId="0" fontId="30" fillId="0" borderId="0"/>
    <xf numFmtId="0" fontId="30" fillId="0" borderId="0"/>
    <xf numFmtId="0" fontId="3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4" fontId="18" fillId="0" borderId="0">
      <alignment horizontal="center" wrapText="1"/>
      <protection locked="0"/>
    </xf>
    <xf numFmtId="170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12" fillId="0" borderId="0" applyFill="0" applyBorder="0" applyAlignment="0"/>
    <xf numFmtId="167" fontId="12" fillId="0" borderId="0" applyFill="0" applyBorder="0" applyAlignment="0"/>
    <xf numFmtId="166" fontId="12" fillId="0" borderId="0" applyFill="0" applyBorder="0" applyAlignment="0"/>
    <xf numFmtId="171" fontId="12" fillId="0" borderId="0" applyFill="0" applyBorder="0" applyAlignment="0"/>
    <xf numFmtId="167" fontId="12" fillId="0" borderId="0" applyFill="0" applyBorder="0" applyAlignment="0"/>
    <xf numFmtId="164" fontId="25" fillId="0" borderId="0"/>
    <xf numFmtId="0" fontId="14" fillId="0" borderId="0" applyNumberFormat="0" applyFont="0" applyFill="0" applyBorder="0" applyAlignment="0" applyProtection="0">
      <alignment horizontal="left"/>
    </xf>
    <xf numFmtId="0" fontId="26" fillId="6" borderId="0" applyNumberFormat="0" applyFont="0" applyBorder="0" applyAlignment="0">
      <alignment horizontal="center"/>
    </xf>
    <xf numFmtId="182" fontId="11" fillId="0" borderId="0" applyNumberFormat="0" applyFill="0" applyBorder="0" applyAlignment="0" applyProtection="0">
      <alignment horizontal="left"/>
    </xf>
    <xf numFmtId="0" fontId="26" fillId="1" borderId="17" applyNumberFormat="0" applyFont="0" applyAlignment="0">
      <alignment horizontal="center"/>
    </xf>
    <xf numFmtId="0" fontId="27" fillId="0" borderId="0" applyNumberFormat="0" applyFill="0" applyBorder="0" applyAlignment="0">
      <alignment horizontal="center"/>
    </xf>
    <xf numFmtId="180" fontId="9" fillId="0" borderId="0">
      <alignment horizontal="center"/>
    </xf>
    <xf numFmtId="0" fontId="9" fillId="0" borderId="0"/>
    <xf numFmtId="0" fontId="31" fillId="0" borderId="0"/>
    <xf numFmtId="0" fontId="31" fillId="0" borderId="0"/>
    <xf numFmtId="0" fontId="31" fillId="0" borderId="0"/>
    <xf numFmtId="40" fontId="28" fillId="0" borderId="0" applyBorder="0">
      <alignment horizontal="right"/>
    </xf>
    <xf numFmtId="49" fontId="13" fillId="0" borderId="0" applyFill="0" applyBorder="0" applyAlignment="0"/>
    <xf numFmtId="175" fontId="12" fillId="0" borderId="0" applyFill="0" applyBorder="0" applyAlignment="0"/>
    <xf numFmtId="176" fontId="12" fillId="0" borderId="0" applyFill="0" applyBorder="0" applyAlignment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/>
    <xf numFmtId="178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0" fillId="0" borderId="0"/>
    <xf numFmtId="0" fontId="1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7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69" fillId="0" borderId="0"/>
    <xf numFmtId="165" fontId="69" fillId="0" borderId="0" applyFont="0" applyFill="0" applyBorder="0" applyAlignment="0" applyProtection="0"/>
    <xf numFmtId="9" fontId="69" fillId="0" borderId="0" applyFont="0" applyFill="0" applyBorder="0" applyAlignment="0" applyProtection="0"/>
  </cellStyleXfs>
  <cellXfs count="300">
    <xf numFmtId="0" fontId="0" fillId="0" borderId="0" xfId="0"/>
    <xf numFmtId="0" fontId="37" fillId="0" borderId="0" xfId="247" applyFont="1"/>
    <xf numFmtId="0" fontId="37" fillId="0" borderId="0" xfId="247" applyFont="1" applyAlignment="1">
      <alignment vertical="center"/>
    </xf>
    <xf numFmtId="43" fontId="16" fillId="0" borderId="0" xfId="54" applyFont="1" applyFill="1" applyBorder="1" applyAlignment="1">
      <alignment vertical="center"/>
    </xf>
    <xf numFmtId="0" fontId="16" fillId="0" borderId="0" xfId="247" applyFont="1" applyAlignment="1">
      <alignment vertical="center"/>
    </xf>
    <xf numFmtId="43" fontId="16" fillId="0" borderId="20" xfId="54" applyFont="1" applyFill="1" applyBorder="1" applyAlignment="1">
      <alignment horizontal="center" vertical="center"/>
    </xf>
    <xf numFmtId="43" fontId="37" fillId="0" borderId="0" xfId="54" applyFont="1" applyBorder="1" applyAlignment="1">
      <alignment vertical="center"/>
    </xf>
    <xf numFmtId="43" fontId="37" fillId="0" borderId="0" xfId="247" applyNumberFormat="1" applyFont="1" applyAlignment="1">
      <alignment vertical="center"/>
    </xf>
    <xf numFmtId="0" fontId="37" fillId="0" borderId="0" xfId="247" applyFont="1" applyAlignment="1">
      <alignment horizontal="center" vertical="center"/>
    </xf>
    <xf numFmtId="43" fontId="37" fillId="0" borderId="0" xfId="54" applyFont="1" applyAlignment="1">
      <alignment vertical="center"/>
    </xf>
    <xf numFmtId="0" fontId="37" fillId="0" borderId="0" xfId="247" applyFont="1" applyAlignment="1">
      <alignment horizontal="center"/>
    </xf>
    <xf numFmtId="43" fontId="37" fillId="0" borderId="0" xfId="54" applyFont="1"/>
    <xf numFmtId="0" fontId="3" fillId="0" borderId="0" xfId="251" applyFont="1" applyAlignment="1">
      <alignment vertical="center"/>
    </xf>
    <xf numFmtId="0" fontId="2" fillId="0" borderId="0" xfId="251" applyFont="1" applyAlignment="1">
      <alignment vertical="center"/>
    </xf>
    <xf numFmtId="0" fontId="4" fillId="0" borderId="0" xfId="251" applyFont="1" applyAlignment="1">
      <alignment horizontal="center" vertical="center"/>
    </xf>
    <xf numFmtId="0" fontId="6" fillId="0" borderId="0" xfId="251" applyFont="1" applyAlignment="1">
      <alignment horizontal="center" vertical="center"/>
    </xf>
    <xf numFmtId="0" fontId="5" fillId="0" borderId="0" xfId="251" applyFont="1" applyAlignment="1">
      <alignment vertical="center"/>
    </xf>
    <xf numFmtId="0" fontId="3" fillId="0" borderId="0" xfId="251" applyFont="1"/>
    <xf numFmtId="0" fontId="35" fillId="0" borderId="0" xfId="251" applyFont="1" applyAlignment="1">
      <alignment vertical="center"/>
    </xf>
    <xf numFmtId="0" fontId="6" fillId="0" borderId="0" xfId="251" applyFont="1" applyAlignment="1">
      <alignment vertical="center"/>
    </xf>
    <xf numFmtId="4" fontId="6" fillId="0" borderId="0" xfId="251" applyNumberFormat="1" applyFont="1" applyAlignment="1">
      <alignment vertical="center"/>
    </xf>
    <xf numFmtId="0" fontId="3" fillId="0" borderId="3" xfId="251" applyFont="1" applyBorder="1" applyAlignment="1">
      <alignment vertical="center"/>
    </xf>
    <xf numFmtId="0" fontId="35" fillId="0" borderId="8" xfId="251" applyFont="1" applyBorder="1" applyAlignment="1">
      <alignment vertical="center"/>
    </xf>
    <xf numFmtId="0" fontId="35" fillId="0" borderId="4" xfId="251" applyFont="1" applyBorder="1" applyAlignment="1">
      <alignment vertical="center"/>
    </xf>
    <xf numFmtId="0" fontId="35" fillId="0" borderId="5" xfId="251" applyFont="1" applyBorder="1" applyAlignment="1">
      <alignment vertical="center"/>
    </xf>
    <xf numFmtId="0" fontId="37" fillId="7" borderId="12" xfId="247" applyFont="1" applyFill="1" applyBorder="1" applyAlignment="1">
      <alignment horizontal="center" vertical="center"/>
    </xf>
    <xf numFmtId="0" fontId="40" fillId="7" borderId="12" xfId="247" applyFont="1" applyFill="1" applyBorder="1" applyAlignment="1">
      <alignment horizontal="center" vertical="center"/>
    </xf>
    <xf numFmtId="0" fontId="40" fillId="0" borderId="12" xfId="247" applyFont="1" applyBorder="1" applyAlignment="1" applyProtection="1">
      <alignment vertical="center" wrapText="1"/>
      <protection locked="0"/>
    </xf>
    <xf numFmtId="185" fontId="37" fillId="7" borderId="12" xfId="54" applyNumberFormat="1" applyFont="1" applyFill="1" applyBorder="1" applyAlignment="1" applyProtection="1">
      <alignment horizontal="center" vertical="center"/>
      <protection locked="0"/>
    </xf>
    <xf numFmtId="186" fontId="41" fillId="0" borderId="12" xfId="248" applyNumberFormat="1" applyFont="1" applyFill="1" applyBorder="1" applyAlignment="1" applyProtection="1">
      <alignment vertical="center"/>
      <protection locked="0"/>
    </xf>
    <xf numFmtId="186" fontId="42" fillId="0" borderId="12" xfId="248" applyNumberFormat="1" applyFont="1" applyFill="1" applyBorder="1" applyAlignment="1" applyProtection="1">
      <alignment vertical="center"/>
      <protection locked="0"/>
    </xf>
    <xf numFmtId="43" fontId="42" fillId="0" borderId="12" xfId="54" applyFont="1" applyFill="1" applyBorder="1" applyAlignment="1" applyProtection="1">
      <alignment vertical="center"/>
    </xf>
    <xf numFmtId="186" fontId="37" fillId="0" borderId="12" xfId="247" applyNumberFormat="1" applyFont="1" applyBorder="1" applyAlignment="1" applyProtection="1">
      <alignment vertical="center"/>
      <protection locked="0"/>
    </xf>
    <xf numFmtId="0" fontId="40" fillId="7" borderId="12" xfId="247" applyFont="1" applyFill="1" applyBorder="1" applyAlignment="1" applyProtection="1">
      <alignment vertical="center" wrapText="1"/>
      <protection locked="0"/>
    </xf>
    <xf numFmtId="0" fontId="16" fillId="7" borderId="12" xfId="247" applyFont="1" applyFill="1" applyBorder="1" applyAlignment="1">
      <alignment horizontal="center" vertical="center"/>
    </xf>
    <xf numFmtId="0" fontId="43" fillId="7" borderId="12" xfId="247" applyFont="1" applyFill="1" applyBorder="1" applyAlignment="1">
      <alignment vertical="center"/>
    </xf>
    <xf numFmtId="186" fontId="44" fillId="0" borderId="12" xfId="248" applyNumberFormat="1" applyFont="1" applyFill="1" applyBorder="1" applyAlignment="1">
      <alignment horizontal="center" vertical="center"/>
    </xf>
    <xf numFmtId="10" fontId="44" fillId="0" borderId="12" xfId="117" applyNumberFormat="1" applyFont="1" applyFill="1" applyBorder="1" applyAlignment="1">
      <alignment vertical="center"/>
    </xf>
    <xf numFmtId="43" fontId="16" fillId="0" borderId="12" xfId="54" applyFont="1" applyFill="1" applyBorder="1" applyAlignment="1">
      <alignment vertical="center"/>
    </xf>
    <xf numFmtId="186" fontId="16" fillId="0" borderId="12" xfId="247" applyNumberFormat="1" applyFont="1" applyBorder="1" applyAlignment="1">
      <alignment horizontal="center" vertical="center"/>
    </xf>
    <xf numFmtId="186" fontId="37" fillId="0" borderId="12" xfId="248" applyNumberFormat="1" applyFont="1" applyFill="1" applyBorder="1" applyAlignment="1" applyProtection="1">
      <alignment vertical="center"/>
      <protection locked="0"/>
    </xf>
    <xf numFmtId="0" fontId="43" fillId="0" borderId="12" xfId="247" applyFont="1" applyBorder="1" applyAlignment="1">
      <alignment vertical="center"/>
    </xf>
    <xf numFmtId="0" fontId="45" fillId="0" borderId="12" xfId="247" applyFont="1" applyBorder="1" applyAlignment="1">
      <alignment horizontal="center" vertical="center"/>
    </xf>
    <xf numFmtId="0" fontId="45" fillId="0" borderId="12" xfId="247" applyFont="1" applyBorder="1" applyAlignment="1" applyProtection="1">
      <alignment vertical="center" wrapText="1"/>
      <protection locked="0"/>
    </xf>
    <xf numFmtId="185" fontId="37" fillId="0" borderId="12" xfId="54" applyNumberFormat="1" applyFont="1" applyFill="1" applyBorder="1" applyAlignment="1" applyProtection="1">
      <alignment horizontal="center" vertical="center"/>
      <protection locked="0"/>
    </xf>
    <xf numFmtId="43" fontId="42" fillId="0" borderId="12" xfId="54" applyFont="1" applyFill="1" applyBorder="1" applyAlignment="1" applyProtection="1">
      <alignment vertical="center"/>
      <protection locked="0"/>
    </xf>
    <xf numFmtId="186" fontId="41" fillId="0" borderId="12" xfId="247" applyNumberFormat="1" applyFont="1" applyBorder="1" applyAlignment="1" applyProtection="1">
      <alignment horizontal="left" vertical="center"/>
      <protection locked="0"/>
    </xf>
    <xf numFmtId="0" fontId="45" fillId="0" borderId="12" xfId="247" applyFont="1" applyBorder="1" applyAlignment="1" applyProtection="1">
      <alignment vertical="center"/>
      <protection locked="0"/>
    </xf>
    <xf numFmtId="186" fontId="41" fillId="0" borderId="12" xfId="247" applyNumberFormat="1" applyFont="1" applyBorder="1" applyAlignment="1" applyProtection="1">
      <alignment vertical="center"/>
      <protection locked="0"/>
    </xf>
    <xf numFmtId="0" fontId="37" fillId="0" borderId="12" xfId="247" applyFont="1" applyBorder="1" applyAlignment="1">
      <alignment horizontal="center" vertical="center"/>
    </xf>
    <xf numFmtId="0" fontId="37" fillId="0" borderId="12" xfId="247" applyFont="1" applyBorder="1" applyAlignment="1" applyProtection="1">
      <alignment vertical="center" wrapText="1"/>
      <protection locked="0"/>
    </xf>
    <xf numFmtId="0" fontId="37" fillId="7" borderId="12" xfId="247" applyFont="1" applyFill="1" applyBorder="1" applyAlignment="1" applyProtection="1">
      <alignment vertical="center" wrapText="1"/>
      <protection locked="0"/>
    </xf>
    <xf numFmtId="186" fontId="37" fillId="0" borderId="12" xfId="247" applyNumberFormat="1" applyFont="1" applyBorder="1" applyAlignment="1" applyProtection="1">
      <alignment horizontal="right" vertical="center"/>
      <protection locked="0"/>
    </xf>
    <xf numFmtId="0" fontId="46" fillId="7" borderId="12" xfId="247" applyFont="1" applyFill="1" applyBorder="1" applyAlignment="1">
      <alignment horizontal="center" vertical="center"/>
    </xf>
    <xf numFmtId="0" fontId="46" fillId="0" borderId="12" xfId="247" applyFont="1" applyBorder="1" applyAlignment="1" applyProtection="1">
      <alignment vertical="center" wrapText="1"/>
      <protection locked="0"/>
    </xf>
    <xf numFmtId="9" fontId="37" fillId="7" borderId="12" xfId="117" applyFont="1" applyFill="1" applyBorder="1" applyAlignment="1">
      <alignment horizontal="center" vertical="center"/>
    </xf>
    <xf numFmtId="43" fontId="44" fillId="0" borderId="12" xfId="54" applyFont="1" applyFill="1" applyBorder="1" applyAlignment="1">
      <alignment vertical="center"/>
    </xf>
    <xf numFmtId="186" fontId="37" fillId="7" borderId="12" xfId="248" applyNumberFormat="1" applyFont="1" applyFill="1" applyBorder="1" applyAlignment="1" applyProtection="1">
      <alignment vertical="center"/>
      <protection locked="0"/>
    </xf>
    <xf numFmtId="9" fontId="37" fillId="7" borderId="12" xfId="117" applyFont="1" applyFill="1" applyBorder="1" applyAlignment="1">
      <alignment vertical="center"/>
    </xf>
    <xf numFmtId="43" fontId="37" fillId="7" borderId="12" xfId="54" applyFont="1" applyFill="1" applyBorder="1" applyAlignment="1" applyProtection="1">
      <alignment vertical="center"/>
    </xf>
    <xf numFmtId="9" fontId="37" fillId="0" borderId="12" xfId="117" applyFont="1" applyFill="1" applyBorder="1" applyAlignment="1">
      <alignment vertical="center"/>
    </xf>
    <xf numFmtId="43" fontId="37" fillId="0" borderId="12" xfId="54" applyFont="1" applyFill="1" applyBorder="1" applyAlignment="1" applyProtection="1">
      <alignment horizontal="right" vertical="center"/>
    </xf>
    <xf numFmtId="186" fontId="37" fillId="0" borderId="12" xfId="247" applyNumberFormat="1" applyFont="1" applyBorder="1" applyAlignment="1" applyProtection="1">
      <alignment vertical="center" wrapText="1"/>
      <protection locked="0"/>
    </xf>
    <xf numFmtId="186" fontId="34" fillId="8" borderId="12" xfId="248" applyNumberFormat="1" applyFont="1" applyFill="1" applyBorder="1" applyAlignment="1">
      <alignment horizontal="center" vertical="center"/>
    </xf>
    <xf numFmtId="10" fontId="34" fillId="8" borderId="12" xfId="117" applyNumberFormat="1" applyFont="1" applyFill="1" applyBorder="1" applyAlignment="1">
      <alignment vertical="center"/>
    </xf>
    <xf numFmtId="43" fontId="16" fillId="9" borderId="12" xfId="54" applyFont="1" applyFill="1" applyBorder="1" applyAlignment="1">
      <alignment vertical="center"/>
    </xf>
    <xf numFmtId="0" fontId="37" fillId="0" borderId="12" xfId="247" applyFont="1" applyBorder="1" applyAlignment="1">
      <alignment vertical="center"/>
    </xf>
    <xf numFmtId="43" fontId="37" fillId="0" borderId="12" xfId="54" applyFont="1" applyBorder="1" applyAlignment="1">
      <alignment vertical="center"/>
    </xf>
    <xf numFmtId="0" fontId="51" fillId="0" borderId="12" xfId="247" applyFont="1" applyBorder="1" applyAlignment="1">
      <alignment horizontal="center"/>
    </xf>
    <xf numFmtId="43" fontId="41" fillId="7" borderId="12" xfId="54" applyFont="1" applyFill="1" applyBorder="1" applyAlignment="1" applyProtection="1">
      <alignment vertical="center"/>
      <protection locked="0"/>
    </xf>
    <xf numFmtId="43" fontId="43" fillId="7" borderId="12" xfId="247" applyNumberFormat="1" applyFont="1" applyFill="1" applyBorder="1" applyAlignment="1">
      <alignment vertical="center"/>
    </xf>
    <xf numFmtId="43" fontId="41" fillId="0" borderId="12" xfId="54" applyFont="1" applyFill="1" applyBorder="1" applyAlignment="1" applyProtection="1">
      <alignment vertical="center"/>
    </xf>
    <xf numFmtId="43" fontId="37" fillId="0" borderId="12" xfId="54" applyFont="1" applyFill="1" applyBorder="1" applyAlignment="1" applyProtection="1">
      <alignment vertical="center"/>
    </xf>
    <xf numFmtId="43" fontId="43" fillId="0" borderId="12" xfId="247" applyNumberFormat="1" applyFont="1" applyBorder="1" applyAlignment="1">
      <alignment vertical="center"/>
    </xf>
    <xf numFmtId="43" fontId="41" fillId="0" borderId="12" xfId="54" applyFont="1" applyFill="1" applyBorder="1" applyAlignment="1" applyProtection="1">
      <alignment vertical="center"/>
      <protection locked="0"/>
    </xf>
    <xf numFmtId="43" fontId="37" fillId="0" borderId="12" xfId="247" applyNumberFormat="1" applyFont="1" applyBorder="1" applyAlignment="1">
      <alignment horizontal="center" vertical="center"/>
    </xf>
    <xf numFmtId="43" fontId="37" fillId="0" borderId="0" xfId="247" applyNumberFormat="1" applyFont="1"/>
    <xf numFmtId="43" fontId="37" fillId="0" borderId="12" xfId="54" applyFont="1" applyBorder="1" applyAlignment="1">
      <alignment horizontal="center" vertical="center"/>
    </xf>
    <xf numFmtId="0" fontId="52" fillId="0" borderId="0" xfId="251" applyFont="1" applyAlignment="1">
      <alignment vertical="center"/>
    </xf>
    <xf numFmtId="0" fontId="53" fillId="0" borderId="0" xfId="251" applyFont="1" applyAlignment="1">
      <alignment vertical="center"/>
    </xf>
    <xf numFmtId="0" fontId="52" fillId="0" borderId="0" xfId="251" applyFont="1"/>
    <xf numFmtId="0" fontId="53" fillId="0" borderId="0" xfId="252" applyFont="1"/>
    <xf numFmtId="0" fontId="53" fillId="0" borderId="0" xfId="251" applyFont="1"/>
    <xf numFmtId="0" fontId="54" fillId="0" borderId="0" xfId="252" applyFont="1"/>
    <xf numFmtId="0" fontId="5" fillId="0" borderId="11" xfId="251" applyFont="1" applyBorder="1" applyAlignment="1">
      <alignment horizontal="center" vertical="center"/>
    </xf>
    <xf numFmtId="0" fontId="5" fillId="0" borderId="6" xfId="251" applyFont="1" applyBorder="1" applyAlignment="1">
      <alignment vertical="center"/>
    </xf>
    <xf numFmtId="0" fontId="5" fillId="0" borderId="11" xfId="251" applyFont="1" applyBorder="1" applyAlignment="1">
      <alignment vertical="center"/>
    </xf>
    <xf numFmtId="0" fontId="5" fillId="0" borderId="7" xfId="251" applyFont="1" applyBorder="1" applyAlignment="1">
      <alignment horizontal="center" vertical="center"/>
    </xf>
    <xf numFmtId="0" fontId="53" fillId="0" borderId="1" xfId="251" applyFont="1" applyBorder="1" applyAlignment="1">
      <alignment horizontal="center" vertical="center"/>
    </xf>
    <xf numFmtId="0" fontId="53" fillId="0" borderId="1" xfId="252" applyFont="1" applyBorder="1" applyAlignment="1">
      <alignment horizontal="center" vertical="center"/>
    </xf>
    <xf numFmtId="0" fontId="53" fillId="0" borderId="1" xfId="252" applyFont="1" applyBorder="1" applyAlignment="1">
      <alignment vertical="center" wrapText="1"/>
    </xf>
    <xf numFmtId="1" fontId="59" fillId="0" borderId="3" xfId="252" applyNumberFormat="1" applyFont="1" applyBorder="1" applyAlignment="1">
      <alignment horizontal="center" vertical="center"/>
    </xf>
    <xf numFmtId="4" fontId="53" fillId="0" borderId="2" xfId="251" applyNumberFormat="1" applyFont="1" applyBorder="1" applyAlignment="1">
      <alignment vertical="center"/>
    </xf>
    <xf numFmtId="0" fontId="5" fillId="0" borderId="1" xfId="251" applyFont="1" applyBorder="1" applyAlignment="1">
      <alignment horizontal="center" vertical="center"/>
    </xf>
    <xf numFmtId="2" fontId="5" fillId="0" borderId="2" xfId="93" applyNumberFormat="1" applyFont="1" applyBorder="1" applyAlignment="1">
      <alignment horizontal="center"/>
    </xf>
    <xf numFmtId="0" fontId="5" fillId="0" borderId="1" xfId="252" applyFont="1" applyBorder="1" applyAlignment="1">
      <alignment vertical="center"/>
    </xf>
    <xf numFmtId="1" fontId="60" fillId="0" borderId="1" xfId="2" applyNumberFormat="1" applyFont="1" applyFill="1" applyBorder="1" applyAlignment="1">
      <alignment horizontal="center"/>
    </xf>
    <xf numFmtId="4" fontId="5" fillId="0" borderId="2" xfId="251" applyNumberFormat="1" applyFont="1" applyBorder="1" applyAlignment="1">
      <alignment vertical="top"/>
    </xf>
    <xf numFmtId="0" fontId="5" fillId="0" borderId="2" xfId="252" applyFont="1" applyBorder="1" applyAlignment="1" applyProtection="1">
      <alignment horizontal="center"/>
      <protection locked="0"/>
    </xf>
    <xf numFmtId="1" fontId="5" fillId="0" borderId="0" xfId="2" applyNumberFormat="1" applyFont="1" applyFill="1" applyBorder="1" applyAlignment="1" applyProtection="1">
      <alignment horizontal="center"/>
      <protection locked="0"/>
    </xf>
    <xf numFmtId="0" fontId="59" fillId="0" borderId="0" xfId="252" applyFont="1"/>
    <xf numFmtId="0" fontId="60" fillId="0" borderId="0" xfId="252" applyFont="1"/>
    <xf numFmtId="1" fontId="5" fillId="0" borderId="1" xfId="2" applyNumberFormat="1" applyFont="1" applyBorder="1" applyAlignment="1" applyProtection="1">
      <alignment horizontal="center"/>
      <protection locked="0"/>
    </xf>
    <xf numFmtId="0" fontId="60" fillId="0" borderId="2" xfId="252" applyFont="1" applyBorder="1"/>
    <xf numFmtId="4" fontId="57" fillId="0" borderId="2" xfId="2" applyNumberFormat="1" applyFont="1" applyBorder="1" applyAlignment="1">
      <alignment horizontal="right" vertical="top"/>
    </xf>
    <xf numFmtId="0" fontId="5" fillId="0" borderId="2" xfId="251" applyFont="1" applyBorder="1" applyAlignment="1">
      <alignment horizontal="center" vertical="top"/>
    </xf>
    <xf numFmtId="0" fontId="60" fillId="0" borderId="1" xfId="252" applyFont="1" applyBorder="1"/>
    <xf numFmtId="0" fontId="5" fillId="0" borderId="19" xfId="132" applyFont="1" applyBorder="1" applyAlignment="1">
      <alignment horizontal="center" vertical="top"/>
    </xf>
    <xf numFmtId="4" fontId="5" fillId="0" borderId="2" xfId="251" quotePrefix="1" applyNumberFormat="1" applyFont="1" applyBorder="1" applyAlignment="1">
      <alignment horizontal="right" vertical="top"/>
    </xf>
    <xf numFmtId="0" fontId="5" fillId="0" borderId="1" xfId="251" applyFont="1" applyBorder="1" applyAlignment="1">
      <alignment horizontal="center" vertical="top"/>
    </xf>
    <xf numFmtId="0" fontId="5" fillId="0" borderId="1" xfId="252" quotePrefix="1" applyFont="1" applyBorder="1" applyAlignment="1">
      <alignment vertical="top" wrapText="1"/>
    </xf>
    <xf numFmtId="0" fontId="5" fillId="0" borderId="0" xfId="251" applyFont="1" applyAlignment="1">
      <alignment horizontal="center" vertical="center"/>
    </xf>
    <xf numFmtId="0" fontId="5" fillId="0" borderId="1" xfId="252" quotePrefix="1" applyFont="1" applyBorder="1" applyAlignment="1">
      <alignment vertical="top"/>
    </xf>
    <xf numFmtId="0" fontId="3" fillId="0" borderId="2" xfId="251" applyFont="1" applyBorder="1" applyAlignment="1">
      <alignment horizontal="center" vertical="top"/>
    </xf>
    <xf numFmtId="0" fontId="5" fillId="0" borderId="1" xfId="86" applyFont="1" applyBorder="1"/>
    <xf numFmtId="4" fontId="3" fillId="0" borderId="2" xfId="251" quotePrefix="1" applyNumberFormat="1" applyFont="1" applyBorder="1" applyAlignment="1">
      <alignment horizontal="right" vertical="top"/>
    </xf>
    <xf numFmtId="0" fontId="5" fillId="0" borderId="2" xfId="132" quotePrefix="1" applyFont="1" applyBorder="1" applyAlignment="1">
      <alignment vertical="center"/>
    </xf>
    <xf numFmtId="0" fontId="5" fillId="0" borderId="1" xfId="252" applyFont="1" applyBorder="1" applyAlignment="1">
      <alignment vertical="top" wrapText="1"/>
    </xf>
    <xf numFmtId="0" fontId="3" fillId="0" borderId="1" xfId="252" quotePrefix="1" applyFont="1" applyBorder="1" applyAlignment="1">
      <alignment vertical="top" wrapText="1"/>
    </xf>
    <xf numFmtId="0" fontId="3" fillId="0" borderId="19" xfId="132" applyFont="1" applyBorder="1" applyAlignment="1">
      <alignment horizontal="center" vertical="top"/>
    </xf>
    <xf numFmtId="0" fontId="61" fillId="0" borderId="2" xfId="132" quotePrefix="1" applyFont="1" applyBorder="1" applyAlignment="1">
      <alignment vertical="center"/>
    </xf>
    <xf numFmtId="0" fontId="6" fillId="0" borderId="2" xfId="251" applyFont="1" applyBorder="1" applyAlignment="1">
      <alignment horizontal="center" vertical="top"/>
    </xf>
    <xf numFmtId="0" fontId="3" fillId="0" borderId="19" xfId="132" applyFont="1" applyBorder="1" applyAlignment="1">
      <alignment horizontal="left" vertical="top" wrapText="1"/>
    </xf>
    <xf numFmtId="0" fontId="6" fillId="0" borderId="2" xfId="3" applyFont="1" applyBorder="1" applyAlignment="1">
      <alignment horizontal="center" vertical="top" wrapText="1"/>
    </xf>
    <xf numFmtId="0" fontId="3" fillId="0" borderId="2" xfId="132" applyFont="1" applyBorder="1" applyAlignment="1">
      <alignment horizontal="left" vertical="top" wrapText="1"/>
    </xf>
    <xf numFmtId="0" fontId="3" fillId="0" borderId="2" xfId="132" quotePrefix="1" applyFont="1" applyBorder="1" applyAlignment="1">
      <alignment horizontal="left" vertical="top" wrapText="1"/>
    </xf>
    <xf numFmtId="0" fontId="6" fillId="0" borderId="8" xfId="251" applyFont="1" applyBorder="1" applyAlignment="1">
      <alignment horizontal="center" vertical="top"/>
    </xf>
    <xf numFmtId="0" fontId="6" fillId="0" borderId="9" xfId="251" applyFont="1" applyBorder="1" applyAlignment="1">
      <alignment vertical="top"/>
    </xf>
    <xf numFmtId="0" fontId="62" fillId="0" borderId="9" xfId="251" applyFont="1" applyBorder="1" applyAlignment="1">
      <alignment horizontal="center" vertical="top"/>
    </xf>
    <xf numFmtId="4" fontId="62" fillId="0" borderId="9" xfId="251" applyNumberFormat="1" applyFont="1" applyBorder="1" applyAlignment="1">
      <alignment vertical="top"/>
    </xf>
    <xf numFmtId="0" fontId="3" fillId="0" borderId="2" xfId="251" applyFont="1" applyBorder="1" applyAlignment="1">
      <alignment vertical="center"/>
    </xf>
    <xf numFmtId="4" fontId="53" fillId="0" borderId="3" xfId="251" applyNumberFormat="1" applyFont="1" applyBorder="1" applyAlignment="1">
      <alignment horizontal="right" vertical="center"/>
    </xf>
    <xf numFmtId="4" fontId="53" fillId="0" borderId="1" xfId="251" applyNumberFormat="1" applyFont="1" applyBorder="1" applyAlignment="1">
      <alignment vertical="center"/>
    </xf>
    <xf numFmtId="0" fontId="3" fillId="0" borderId="0" xfId="251" applyFont="1" applyAlignment="1">
      <alignment horizontal="center" vertical="center"/>
    </xf>
    <xf numFmtId="0" fontId="5" fillId="0" borderId="2" xfId="251" applyFont="1" applyBorder="1" applyAlignment="1">
      <alignment vertical="center"/>
    </xf>
    <xf numFmtId="0" fontId="3" fillId="0" borderId="4" xfId="251" applyFont="1" applyBorder="1" applyAlignment="1">
      <alignment vertical="center"/>
    </xf>
    <xf numFmtId="4" fontId="53" fillId="0" borderId="5" xfId="251" applyNumberFormat="1" applyFont="1" applyBorder="1" applyAlignment="1">
      <alignment horizontal="right" vertical="center"/>
    </xf>
    <xf numFmtId="0" fontId="64" fillId="7" borderId="2" xfId="251" applyFont="1" applyFill="1" applyBorder="1" applyAlignment="1">
      <alignment vertical="center"/>
    </xf>
    <xf numFmtId="0" fontId="64" fillId="7" borderId="0" xfId="251" applyFont="1" applyFill="1" applyAlignment="1">
      <alignment vertical="center"/>
    </xf>
    <xf numFmtId="0" fontId="5" fillId="7" borderId="0" xfId="251" applyFont="1" applyFill="1" applyAlignment="1">
      <alignment vertical="center"/>
    </xf>
    <xf numFmtId="0" fontId="53" fillId="0" borderId="6" xfId="251" applyFont="1" applyBorder="1" applyAlignment="1">
      <alignment vertical="center"/>
    </xf>
    <xf numFmtId="0" fontId="54" fillId="0" borderId="7" xfId="251" applyFont="1" applyBorder="1" applyAlignment="1">
      <alignment vertical="center"/>
    </xf>
    <xf numFmtId="0" fontId="3" fillId="0" borderId="10" xfId="251" applyFont="1" applyBorder="1" applyAlignment="1">
      <alignment vertical="center"/>
    </xf>
    <xf numFmtId="0" fontId="53" fillId="7" borderId="2" xfId="251" applyFont="1" applyFill="1" applyBorder="1" applyAlignment="1">
      <alignment vertical="center"/>
    </xf>
    <xf numFmtId="0" fontId="53" fillId="7" borderId="0" xfId="251" applyFont="1" applyFill="1" applyAlignment="1">
      <alignment vertical="center"/>
    </xf>
    <xf numFmtId="0" fontId="53" fillId="0" borderId="2" xfId="251" applyFont="1" applyBorder="1" applyAlignment="1">
      <alignment vertical="center"/>
    </xf>
    <xf numFmtId="0" fontId="54" fillId="0" borderId="0" xfId="251" applyFont="1" applyAlignment="1">
      <alignment vertical="center"/>
    </xf>
    <xf numFmtId="0" fontId="5" fillId="7" borderId="2" xfId="251" applyFont="1" applyFill="1" applyBorder="1" applyAlignment="1">
      <alignment vertical="center"/>
    </xf>
    <xf numFmtId="0" fontId="5" fillId="7" borderId="2" xfId="251" applyFont="1" applyFill="1" applyBorder="1" applyAlignment="1">
      <alignment horizontal="left" vertical="center"/>
    </xf>
    <xf numFmtId="0" fontId="5" fillId="7" borderId="0" xfId="251" applyFont="1" applyFill="1" applyAlignment="1">
      <alignment horizontal="left" vertical="center"/>
    </xf>
    <xf numFmtId="0" fontId="5" fillId="7" borderId="3" xfId="251" applyFont="1" applyFill="1" applyBorder="1" applyAlignment="1">
      <alignment horizontal="left" vertical="center"/>
    </xf>
    <xf numFmtId="0" fontId="66" fillId="0" borderId="0" xfId="251" applyFont="1" applyAlignment="1">
      <alignment horizontal="left" vertical="center"/>
    </xf>
    <xf numFmtId="0" fontId="66" fillId="0" borderId="3" xfId="251" applyFont="1" applyBorder="1" applyAlignment="1">
      <alignment horizontal="left" vertical="center"/>
    </xf>
    <xf numFmtId="4" fontId="57" fillId="0" borderId="6" xfId="2" applyNumberFormat="1" applyFont="1" applyBorder="1" applyAlignment="1">
      <alignment horizontal="right" vertical="center"/>
    </xf>
    <xf numFmtId="0" fontId="6" fillId="0" borderId="2" xfId="251" applyFont="1" applyBorder="1" applyAlignment="1">
      <alignment vertical="center"/>
    </xf>
    <xf numFmtId="4" fontId="62" fillId="0" borderId="2" xfId="2" applyNumberFormat="1" applyFont="1" applyBorder="1" applyAlignment="1">
      <alignment horizontal="right" vertical="top"/>
    </xf>
    <xf numFmtId="4" fontId="62" fillId="0" borderId="8" xfId="2" applyNumberFormat="1" applyFont="1" applyBorder="1" applyAlignment="1">
      <alignment horizontal="right" vertical="top"/>
    </xf>
    <xf numFmtId="0" fontId="58" fillId="0" borderId="11" xfId="251" applyFont="1" applyBorder="1" applyAlignment="1">
      <alignment vertical="center"/>
    </xf>
    <xf numFmtId="0" fontId="58" fillId="0" borderId="22" xfId="251" applyFont="1" applyBorder="1" applyAlignment="1">
      <alignment vertical="center"/>
    </xf>
    <xf numFmtId="43" fontId="16" fillId="12" borderId="12" xfId="54" applyFont="1" applyFill="1" applyBorder="1" applyAlignment="1">
      <alignment horizontal="center"/>
    </xf>
    <xf numFmtId="186" fontId="37" fillId="12" borderId="12" xfId="247" applyNumberFormat="1" applyFont="1" applyFill="1" applyBorder="1" applyAlignment="1" applyProtection="1">
      <alignment vertical="center" wrapText="1"/>
      <protection locked="0"/>
    </xf>
    <xf numFmtId="0" fontId="16" fillId="10" borderId="12" xfId="247" applyFont="1" applyFill="1" applyBorder="1" applyAlignment="1">
      <alignment horizontal="center"/>
    </xf>
    <xf numFmtId="43" fontId="16" fillId="10" borderId="12" xfId="54" applyFont="1" applyFill="1" applyBorder="1" applyAlignment="1">
      <alignment horizontal="center"/>
    </xf>
    <xf numFmtId="0" fontId="16" fillId="10" borderId="12" xfId="247" applyFont="1" applyFill="1" applyBorder="1" applyAlignment="1">
      <alignment vertical="center"/>
    </xf>
    <xf numFmtId="0" fontId="9" fillId="10" borderId="12" xfId="86" applyFill="1" applyBorder="1" applyAlignment="1">
      <alignment vertical="center"/>
    </xf>
    <xf numFmtId="43" fontId="9" fillId="10" borderId="12" xfId="86" applyNumberFormat="1" applyFill="1" applyBorder="1" applyAlignment="1">
      <alignment vertical="center"/>
    </xf>
    <xf numFmtId="43" fontId="9" fillId="10" borderId="12" xfId="54" applyFont="1" applyFill="1" applyBorder="1" applyAlignment="1">
      <alignment vertical="center"/>
    </xf>
    <xf numFmtId="0" fontId="39" fillId="10" borderId="12" xfId="86" applyFont="1" applyFill="1" applyBorder="1" applyAlignment="1">
      <alignment horizontal="center" vertical="center"/>
    </xf>
    <xf numFmtId="43" fontId="39" fillId="10" borderId="12" xfId="54" applyFont="1" applyFill="1" applyBorder="1" applyAlignment="1">
      <alignment horizontal="center" vertical="center"/>
    </xf>
    <xf numFmtId="43" fontId="37" fillId="10" borderId="12" xfId="54" applyFont="1" applyFill="1" applyBorder="1" applyAlignment="1">
      <alignment vertical="center"/>
    </xf>
    <xf numFmtId="43" fontId="16" fillId="10" borderId="12" xfId="54" applyFont="1" applyFill="1" applyBorder="1" applyAlignment="1">
      <alignment vertical="center"/>
    </xf>
    <xf numFmtId="43" fontId="41" fillId="10" borderId="12" xfId="54" applyFont="1" applyFill="1" applyBorder="1" applyAlignment="1">
      <alignment vertical="center"/>
    </xf>
    <xf numFmtId="43" fontId="42" fillId="10" borderId="12" xfId="54" applyFont="1" applyFill="1" applyBorder="1" applyAlignment="1">
      <alignment vertical="center"/>
    </xf>
    <xf numFmtId="43" fontId="42" fillId="10" borderId="12" xfId="54" applyFont="1" applyFill="1" applyBorder="1" applyAlignment="1">
      <alignment horizontal="center" vertical="center"/>
    </xf>
    <xf numFmtId="165" fontId="37" fillId="10" borderId="12" xfId="54" applyNumberFormat="1" applyFont="1" applyFill="1" applyBorder="1" applyAlignment="1">
      <alignment horizontal="center" vertical="center"/>
    </xf>
    <xf numFmtId="43" fontId="37" fillId="10" borderId="12" xfId="54" applyFont="1" applyFill="1" applyBorder="1" applyAlignment="1">
      <alignment horizontal="right" vertical="center"/>
    </xf>
    <xf numFmtId="43" fontId="38" fillId="12" borderId="12" xfId="54" applyFont="1" applyFill="1" applyBorder="1" applyAlignment="1">
      <alignment vertical="center"/>
    </xf>
    <xf numFmtId="43" fontId="48" fillId="12" borderId="12" xfId="54" applyFont="1" applyFill="1" applyBorder="1" applyAlignment="1" applyProtection="1">
      <alignment vertical="center"/>
      <protection locked="0"/>
    </xf>
    <xf numFmtId="43" fontId="50" fillId="12" borderId="12" xfId="54" applyFont="1" applyFill="1" applyBorder="1" applyAlignment="1" applyProtection="1">
      <alignment vertical="center"/>
      <protection locked="0"/>
    </xf>
    <xf numFmtId="186" fontId="47" fillId="12" borderId="12" xfId="247" applyNumberFormat="1" applyFont="1" applyFill="1" applyBorder="1" applyAlignment="1" applyProtection="1">
      <alignment horizontal="right" vertical="center"/>
      <protection locked="0"/>
    </xf>
    <xf numFmtId="186" fontId="49" fillId="12" borderId="12" xfId="247" applyNumberFormat="1" applyFont="1" applyFill="1" applyBorder="1" applyAlignment="1" applyProtection="1">
      <alignment horizontal="right" vertical="center"/>
      <protection locked="0"/>
    </xf>
    <xf numFmtId="0" fontId="67" fillId="0" borderId="0" xfId="251" applyFont="1"/>
    <xf numFmtId="0" fontId="68" fillId="0" borderId="0" xfId="251" applyFont="1" applyAlignment="1">
      <alignment vertical="center"/>
    </xf>
    <xf numFmtId="0" fontId="45" fillId="13" borderId="12" xfId="247" applyFont="1" applyFill="1" applyBorder="1" applyAlignment="1">
      <alignment horizontal="center" vertical="center"/>
    </xf>
    <xf numFmtId="0" fontId="45" fillId="13" borderId="12" xfId="247" applyFont="1" applyFill="1" applyBorder="1" applyAlignment="1" applyProtection="1">
      <alignment vertical="center" wrapText="1"/>
      <protection locked="0"/>
    </xf>
    <xf numFmtId="185" fontId="37" fillId="13" borderId="12" xfId="54" applyNumberFormat="1" applyFont="1" applyFill="1" applyBorder="1" applyAlignment="1" applyProtection="1">
      <alignment horizontal="center" vertical="center"/>
      <protection locked="0"/>
    </xf>
    <xf numFmtId="43" fontId="41" fillId="13" borderId="12" xfId="54" applyFont="1" applyFill="1" applyBorder="1" applyAlignment="1" applyProtection="1">
      <alignment vertical="center"/>
      <protection locked="0"/>
    </xf>
    <xf numFmtId="43" fontId="41" fillId="13" borderId="12" xfId="54" applyFont="1" applyFill="1" applyBorder="1" applyAlignment="1">
      <alignment vertical="center"/>
    </xf>
    <xf numFmtId="186" fontId="41" fillId="13" borderId="12" xfId="248" applyNumberFormat="1" applyFont="1" applyFill="1" applyBorder="1" applyAlignment="1" applyProtection="1">
      <alignment vertical="center"/>
      <protection locked="0"/>
    </xf>
    <xf numFmtId="186" fontId="42" fillId="13" borderId="12" xfId="248" applyNumberFormat="1" applyFont="1" applyFill="1" applyBorder="1" applyAlignment="1" applyProtection="1">
      <alignment vertical="center"/>
      <protection locked="0"/>
    </xf>
    <xf numFmtId="43" fontId="42" fillId="13" borderId="12" xfId="54" applyFont="1" applyFill="1" applyBorder="1" applyAlignment="1" applyProtection="1">
      <alignment vertical="center"/>
      <protection locked="0"/>
    </xf>
    <xf numFmtId="43" fontId="42" fillId="13" borderId="12" xfId="54" applyFont="1" applyFill="1" applyBorder="1" applyAlignment="1">
      <alignment vertical="center"/>
    </xf>
    <xf numFmtId="186" fontId="41" fillId="13" borderId="12" xfId="247" applyNumberFormat="1" applyFont="1" applyFill="1" applyBorder="1" applyAlignment="1" applyProtection="1">
      <alignment horizontal="left" vertical="center"/>
      <protection locked="0"/>
    </xf>
    <xf numFmtId="0" fontId="45" fillId="13" borderId="12" xfId="247" applyFont="1" applyFill="1" applyBorder="1" applyAlignment="1" applyProtection="1">
      <alignment vertical="center"/>
      <protection locked="0"/>
    </xf>
    <xf numFmtId="186" fontId="41" fillId="13" borderId="12" xfId="247" applyNumberFormat="1" applyFont="1" applyFill="1" applyBorder="1" applyAlignment="1" applyProtection="1">
      <alignment vertical="center"/>
      <protection locked="0"/>
    </xf>
    <xf numFmtId="186" fontId="37" fillId="0" borderId="12" xfId="247" applyNumberFormat="1" applyFont="1" applyBorder="1" applyAlignment="1" applyProtection="1">
      <alignment horizontal="left" vertical="center" wrapText="1"/>
      <protection locked="0"/>
    </xf>
    <xf numFmtId="0" fontId="69" fillId="0" borderId="0" xfId="253"/>
    <xf numFmtId="187" fontId="69" fillId="0" borderId="0" xfId="253" applyNumberFormat="1"/>
    <xf numFmtId="165" fontId="69" fillId="0" borderId="0" xfId="253" applyNumberFormat="1"/>
    <xf numFmtId="0" fontId="70" fillId="0" borderId="0" xfId="253" applyFont="1"/>
    <xf numFmtId="9" fontId="71" fillId="0" borderId="0" xfId="253" applyNumberFormat="1" applyFont="1"/>
    <xf numFmtId="187" fontId="71" fillId="0" borderId="0" xfId="254" applyNumberFormat="1" applyFont="1"/>
    <xf numFmtId="0" fontId="72" fillId="0" borderId="0" xfId="254" applyNumberFormat="1" applyFont="1" applyFill="1" applyBorder="1" applyAlignment="1" applyProtection="1">
      <alignment horizontal="right"/>
    </xf>
    <xf numFmtId="10" fontId="73" fillId="14" borderId="0" xfId="255" applyNumberFormat="1" applyFont="1" applyFill="1"/>
    <xf numFmtId="165" fontId="73" fillId="14" borderId="0" xfId="254" applyFont="1" applyFill="1"/>
    <xf numFmtId="0" fontId="74" fillId="15" borderId="0" xfId="253" applyFont="1" applyFill="1" applyAlignment="1">
      <alignment horizontal="center"/>
    </xf>
    <xf numFmtId="0" fontId="75" fillId="14" borderId="0" xfId="254" applyNumberFormat="1" applyFont="1" applyFill="1" applyBorder="1" applyAlignment="1" applyProtection="1">
      <alignment horizontal="right"/>
    </xf>
    <xf numFmtId="10" fontId="73" fillId="0" borderId="0" xfId="255" applyNumberFormat="1" applyFont="1" applyFill="1"/>
    <xf numFmtId="187" fontId="73" fillId="0" borderId="0" xfId="254" applyNumberFormat="1" applyFont="1" applyFill="1"/>
    <xf numFmtId="188" fontId="73" fillId="0" borderId="0" xfId="255" applyNumberFormat="1" applyFont="1" applyFill="1"/>
    <xf numFmtId="0" fontId="75" fillId="0" borderId="0" xfId="254" applyNumberFormat="1" applyFont="1" applyFill="1" applyBorder="1" applyAlignment="1" applyProtection="1">
      <alignment horizontal="right"/>
    </xf>
    <xf numFmtId="10" fontId="70" fillId="0" borderId="0" xfId="255" applyNumberFormat="1" applyFont="1" applyFill="1"/>
    <xf numFmtId="187" fontId="70" fillId="0" borderId="0" xfId="254" applyNumberFormat="1" applyFont="1" applyFill="1"/>
    <xf numFmtId="188" fontId="70" fillId="0" borderId="0" xfId="253" applyNumberFormat="1" applyFont="1"/>
    <xf numFmtId="187" fontId="70" fillId="0" borderId="0" xfId="254" applyNumberFormat="1" applyFont="1"/>
    <xf numFmtId="0" fontId="76" fillId="16" borderId="0" xfId="254" applyNumberFormat="1" applyFont="1" applyFill="1" applyBorder="1" applyAlignment="1" applyProtection="1">
      <alignment horizontal="right"/>
    </xf>
    <xf numFmtId="10" fontId="73" fillId="17" borderId="0" xfId="255" applyNumberFormat="1" applyFont="1" applyFill="1"/>
    <xf numFmtId="165" fontId="73" fillId="17" borderId="0" xfId="254" applyFont="1" applyFill="1"/>
    <xf numFmtId="0" fontId="75" fillId="17" borderId="0" xfId="254" applyNumberFormat="1" applyFont="1" applyFill="1" applyBorder="1" applyAlignment="1" applyProtection="1">
      <alignment horizontal="right"/>
    </xf>
    <xf numFmtId="43" fontId="70" fillId="0" borderId="0" xfId="253" applyNumberFormat="1" applyFont="1"/>
    <xf numFmtId="0" fontId="70" fillId="0" borderId="0" xfId="253" applyFont="1" applyAlignment="1">
      <alignment horizontal="right"/>
    </xf>
    <xf numFmtId="187" fontId="70" fillId="0" borderId="0" xfId="253" applyNumberFormat="1" applyFont="1"/>
    <xf numFmtId="188" fontId="70" fillId="0" borderId="0" xfId="255" applyNumberFormat="1" applyFont="1" applyFill="1"/>
    <xf numFmtId="165" fontId="70" fillId="0" borderId="0" xfId="254" applyFont="1"/>
    <xf numFmtId="0" fontId="77" fillId="18" borderId="0" xfId="254" applyNumberFormat="1" applyFont="1" applyFill="1" applyBorder="1" applyAlignment="1" applyProtection="1">
      <alignment horizontal="right"/>
    </xf>
    <xf numFmtId="165" fontId="70" fillId="0" borderId="0" xfId="253" applyNumberFormat="1" applyFont="1"/>
    <xf numFmtId="0" fontId="77" fillId="18" borderId="23" xfId="254" applyNumberFormat="1" applyFont="1" applyFill="1" applyBorder="1" applyAlignment="1" applyProtection="1">
      <alignment horizontal="right"/>
    </xf>
    <xf numFmtId="10" fontId="0" fillId="0" borderId="0" xfId="255" applyNumberFormat="1" applyFont="1"/>
    <xf numFmtId="0" fontId="77" fillId="18" borderId="24" xfId="254" applyNumberFormat="1" applyFont="1" applyFill="1" applyBorder="1" applyAlignment="1" applyProtection="1">
      <alignment horizontal="right"/>
    </xf>
    <xf numFmtId="0" fontId="78" fillId="0" borderId="0" xfId="253" applyFont="1" applyAlignment="1">
      <alignment horizontal="right"/>
    </xf>
    <xf numFmtId="9" fontId="70" fillId="0" borderId="0" xfId="255" applyFont="1" applyFill="1"/>
    <xf numFmtId="9" fontId="70" fillId="0" borderId="0" xfId="255" applyFont="1"/>
    <xf numFmtId="0" fontId="79" fillId="0" borderId="0" xfId="253" applyFont="1" applyAlignment="1">
      <alignment horizontal="right"/>
    </xf>
    <xf numFmtId="9" fontId="80" fillId="0" borderId="0" xfId="255" applyFont="1" applyFill="1"/>
    <xf numFmtId="165" fontId="81" fillId="0" borderId="0" xfId="253" applyNumberFormat="1" applyFont="1"/>
    <xf numFmtId="0" fontId="73" fillId="0" borderId="0" xfId="253" applyFont="1"/>
    <xf numFmtId="165" fontId="81" fillId="0" borderId="0" xfId="254" applyFont="1"/>
    <xf numFmtId="9" fontId="80" fillId="0" borderId="0" xfId="255" applyFont="1"/>
    <xf numFmtId="165" fontId="80" fillId="0" borderId="0" xfId="254" applyFont="1"/>
    <xf numFmtId="0" fontId="82" fillId="19" borderId="0" xfId="253" applyFont="1" applyFill="1" applyAlignment="1">
      <alignment horizontal="right"/>
    </xf>
    <xf numFmtId="0" fontId="83" fillId="20" borderId="0" xfId="253" applyFont="1" applyFill="1" applyAlignment="1">
      <alignment horizontal="center"/>
    </xf>
    <xf numFmtId="0" fontId="83" fillId="0" borderId="0" xfId="253" applyFont="1" applyAlignment="1">
      <alignment horizontal="center"/>
    </xf>
    <xf numFmtId="0" fontId="84" fillId="19" borderId="0" xfId="253" applyFont="1" applyFill="1"/>
    <xf numFmtId="0" fontId="5" fillId="7" borderId="2" xfId="251" applyFont="1" applyFill="1" applyBorder="1" applyAlignment="1">
      <alignment horizontal="left" vertical="center"/>
    </xf>
    <xf numFmtId="0" fontId="5" fillId="7" borderId="0" xfId="251" applyFont="1" applyFill="1" applyAlignment="1">
      <alignment horizontal="left" vertical="center"/>
    </xf>
    <xf numFmtId="0" fontId="5" fillId="7" borderId="3" xfId="251" applyFont="1" applyFill="1" applyBorder="1" applyAlignment="1">
      <alignment horizontal="left" vertical="center"/>
    </xf>
    <xf numFmtId="0" fontId="65" fillId="0" borderId="2" xfId="251" applyFont="1" applyBorder="1" applyAlignment="1">
      <alignment horizontal="left" vertical="center"/>
    </xf>
    <xf numFmtId="0" fontId="5" fillId="0" borderId="0" xfId="251" applyFont="1" applyAlignment="1">
      <alignment horizontal="left" vertical="center"/>
    </xf>
    <xf numFmtId="0" fontId="5" fillId="0" borderId="3" xfId="251" applyFont="1" applyBorder="1" applyAlignment="1">
      <alignment horizontal="left" vertical="center"/>
    </xf>
    <xf numFmtId="0" fontId="66" fillId="0" borderId="2" xfId="251" applyFont="1" applyBorder="1" applyAlignment="1">
      <alignment horizontal="left" vertical="center"/>
    </xf>
    <xf numFmtId="0" fontId="66" fillId="0" borderId="0" xfId="251" applyFont="1" applyAlignment="1">
      <alignment horizontal="left" vertical="center"/>
    </xf>
    <xf numFmtId="0" fontId="66" fillId="0" borderId="3" xfId="251" applyFont="1" applyBorder="1" applyAlignment="1">
      <alignment horizontal="left" vertical="center"/>
    </xf>
    <xf numFmtId="0" fontId="5" fillId="0" borderId="7" xfId="251" applyFont="1" applyBorder="1" applyAlignment="1">
      <alignment horizontal="center" vertical="center"/>
    </xf>
    <xf numFmtId="0" fontId="63" fillId="0" borderId="7" xfId="251" applyFont="1" applyBorder="1" applyAlignment="1">
      <alignment horizontal="left" vertical="center" wrapText="1"/>
    </xf>
    <xf numFmtId="0" fontId="63" fillId="0" borderId="0" xfId="251" applyFont="1" applyAlignment="1">
      <alignment horizontal="left" vertical="center" wrapText="1"/>
    </xf>
    <xf numFmtId="0" fontId="56" fillId="12" borderId="6" xfId="251" applyFont="1" applyFill="1" applyBorder="1" applyAlignment="1">
      <alignment horizontal="left" vertical="center"/>
    </xf>
    <xf numFmtId="0" fontId="56" fillId="12" borderId="7" xfId="251" applyFont="1" applyFill="1" applyBorder="1" applyAlignment="1">
      <alignment horizontal="left" vertical="center"/>
    </xf>
    <xf numFmtId="0" fontId="56" fillId="12" borderId="10" xfId="251" applyFont="1" applyFill="1" applyBorder="1" applyAlignment="1">
      <alignment horizontal="left" vertical="center"/>
    </xf>
    <xf numFmtId="0" fontId="56" fillId="12" borderId="8" xfId="251" applyFont="1" applyFill="1" applyBorder="1" applyAlignment="1">
      <alignment horizontal="left" vertical="center"/>
    </xf>
    <xf numFmtId="0" fontId="56" fillId="12" borderId="4" xfId="251" applyFont="1" applyFill="1" applyBorder="1" applyAlignment="1">
      <alignment horizontal="left" vertical="center"/>
    </xf>
    <xf numFmtId="0" fontId="56" fillId="12" borderId="5" xfId="251" applyFont="1" applyFill="1" applyBorder="1" applyAlignment="1">
      <alignment horizontal="left" vertical="center"/>
    </xf>
    <xf numFmtId="0" fontId="55" fillId="10" borderId="2" xfId="251" applyFont="1" applyFill="1" applyBorder="1" applyAlignment="1">
      <alignment horizontal="left" vertical="center"/>
    </xf>
    <xf numFmtId="0" fontId="55" fillId="10" borderId="0" xfId="251" applyFont="1" applyFill="1" applyAlignment="1">
      <alignment horizontal="left" vertical="center"/>
    </xf>
    <xf numFmtId="0" fontId="55" fillId="10" borderId="3" xfId="251" applyFont="1" applyFill="1" applyBorder="1" applyAlignment="1">
      <alignment horizontal="left" vertical="center"/>
    </xf>
    <xf numFmtId="0" fontId="55" fillId="10" borderId="8" xfId="251" applyFont="1" applyFill="1" applyBorder="1" applyAlignment="1">
      <alignment horizontal="left" vertical="center"/>
    </xf>
    <xf numFmtId="0" fontId="55" fillId="10" borderId="4" xfId="251" applyFont="1" applyFill="1" applyBorder="1" applyAlignment="1">
      <alignment horizontal="left" vertical="center"/>
    </xf>
    <xf numFmtId="0" fontId="55" fillId="10" borderId="5" xfId="251" applyFont="1" applyFill="1" applyBorder="1" applyAlignment="1">
      <alignment horizontal="left" vertical="center"/>
    </xf>
    <xf numFmtId="0" fontId="56" fillId="12" borderId="8" xfId="251" applyFont="1" applyFill="1" applyBorder="1" applyAlignment="1">
      <alignment horizontal="center" vertical="center"/>
    </xf>
    <xf numFmtId="0" fontId="56" fillId="12" borderId="13" xfId="251" applyFont="1" applyFill="1" applyBorder="1" applyAlignment="1">
      <alignment horizontal="center" vertical="center"/>
    </xf>
    <xf numFmtId="0" fontId="56" fillId="12" borderId="1" xfId="251" applyFont="1" applyFill="1" applyBorder="1" applyAlignment="1">
      <alignment horizontal="center" vertical="center"/>
    </xf>
    <xf numFmtId="0" fontId="56" fillId="12" borderId="9" xfId="251" applyFont="1" applyFill="1" applyBorder="1" applyAlignment="1">
      <alignment horizontal="center" vertical="center"/>
    </xf>
    <xf numFmtId="0" fontId="56" fillId="12" borderId="5" xfId="251" applyFont="1" applyFill="1" applyBorder="1" applyAlignment="1">
      <alignment horizontal="center" vertical="center"/>
    </xf>
    <xf numFmtId="0" fontId="56" fillId="12" borderId="14" xfId="251" applyFont="1" applyFill="1" applyBorder="1" applyAlignment="1">
      <alignment horizontal="center" vertical="center"/>
    </xf>
    <xf numFmtId="0" fontId="56" fillId="12" borderId="12" xfId="251" applyFont="1" applyFill="1" applyBorder="1" applyAlignment="1">
      <alignment horizontal="center" vertical="center"/>
    </xf>
    <xf numFmtId="0" fontId="55" fillId="10" borderId="6" xfId="251" applyFont="1" applyFill="1" applyBorder="1" applyAlignment="1">
      <alignment horizontal="left" vertical="center"/>
    </xf>
    <xf numFmtId="0" fontId="55" fillId="10" borderId="7" xfId="251" applyFont="1" applyFill="1" applyBorder="1" applyAlignment="1">
      <alignment horizontal="left" vertical="center"/>
    </xf>
    <xf numFmtId="0" fontId="55" fillId="10" borderId="10" xfId="251" applyFont="1" applyFill="1" applyBorder="1" applyAlignment="1">
      <alignment horizontal="left" vertical="center"/>
    </xf>
    <xf numFmtId="0" fontId="4" fillId="0" borderId="0" xfId="251" applyFont="1" applyAlignment="1">
      <alignment horizontal="center" vertical="center"/>
    </xf>
    <xf numFmtId="0" fontId="6" fillId="0" borderId="0" xfId="251" applyFont="1" applyAlignment="1">
      <alignment horizontal="center" vertical="center"/>
    </xf>
    <xf numFmtId="43" fontId="38" fillId="7" borderId="12" xfId="248" applyFont="1" applyFill="1" applyBorder="1" applyAlignment="1">
      <alignment horizontal="center" vertical="center"/>
    </xf>
    <xf numFmtId="0" fontId="16" fillId="12" borderId="12" xfId="247" applyFont="1" applyFill="1" applyBorder="1" applyAlignment="1">
      <alignment horizontal="left" vertical="top" wrapText="1"/>
    </xf>
    <xf numFmtId="0" fontId="16" fillId="7" borderId="12" xfId="247" applyFont="1" applyFill="1" applyBorder="1" applyAlignment="1">
      <alignment horizontal="center" vertical="center"/>
    </xf>
    <xf numFmtId="186" fontId="44" fillId="0" borderId="12" xfId="248" applyNumberFormat="1" applyFont="1" applyFill="1" applyBorder="1" applyAlignment="1">
      <alignment horizontal="center" vertical="center"/>
    </xf>
    <xf numFmtId="0" fontId="37" fillId="7" borderId="12" xfId="247" applyFont="1" applyFill="1" applyBorder="1" applyAlignment="1">
      <alignment horizontal="center" vertical="center"/>
    </xf>
    <xf numFmtId="0" fontId="16" fillId="12" borderId="12" xfId="247" applyFont="1" applyFill="1" applyBorder="1" applyAlignment="1">
      <alignment horizontal="right" vertical="center"/>
    </xf>
    <xf numFmtId="0" fontId="16" fillId="10" borderId="12" xfId="247" applyFont="1" applyFill="1" applyBorder="1" applyAlignment="1">
      <alignment horizontal="center" vertical="center"/>
    </xf>
    <xf numFmtId="0" fontId="16" fillId="10" borderId="12" xfId="247" applyFont="1" applyFill="1" applyBorder="1" applyAlignment="1">
      <alignment horizontal="left" vertical="center"/>
    </xf>
    <xf numFmtId="0" fontId="9" fillId="10" borderId="12" xfId="86" applyFill="1" applyBorder="1" applyAlignment="1">
      <alignment vertical="center"/>
    </xf>
    <xf numFmtId="186" fontId="37" fillId="12" borderId="12" xfId="247" applyNumberFormat="1" applyFont="1" applyFill="1" applyBorder="1" applyAlignment="1" applyProtection="1">
      <alignment horizontal="left" vertical="center" wrapText="1"/>
      <protection locked="0"/>
    </xf>
    <xf numFmtId="0" fontId="16" fillId="0" borderId="12" xfId="247" quotePrefix="1" applyFont="1" applyBorder="1" applyAlignment="1">
      <alignment horizontal="left" vertical="top"/>
    </xf>
    <xf numFmtId="0" fontId="38" fillId="11" borderId="12" xfId="247" applyFont="1" applyFill="1" applyBorder="1" applyAlignment="1">
      <alignment horizontal="center"/>
    </xf>
    <xf numFmtId="0" fontId="16" fillId="12" borderId="12" xfId="247" applyFont="1" applyFill="1" applyBorder="1" applyAlignment="1">
      <alignment horizontal="center" vertical="center"/>
    </xf>
    <xf numFmtId="0" fontId="39" fillId="12" borderId="12" xfId="86" applyFont="1" applyFill="1" applyBorder="1"/>
    <xf numFmtId="0" fontId="38" fillId="0" borderId="20" xfId="247" applyFont="1" applyBorder="1" applyAlignment="1">
      <alignment horizontal="center" vertical="center"/>
    </xf>
    <xf numFmtId="0" fontId="38" fillId="0" borderId="21" xfId="247" applyFont="1" applyBorder="1" applyAlignment="1">
      <alignment horizontal="center" vertical="center"/>
    </xf>
    <xf numFmtId="0" fontId="16" fillId="10" borderId="12" xfId="247" applyFont="1" applyFill="1" applyBorder="1" applyAlignment="1">
      <alignment horizontal="center"/>
    </xf>
    <xf numFmtId="0" fontId="36" fillId="12" borderId="12" xfId="247" applyFont="1" applyFill="1" applyBorder="1" applyAlignment="1">
      <alignment horizontal="left" vertical="center"/>
    </xf>
    <xf numFmtId="0" fontId="16" fillId="12" borderId="12" xfId="247" applyFont="1" applyFill="1" applyBorder="1" applyAlignment="1">
      <alignment horizontal="center"/>
    </xf>
    <xf numFmtId="0" fontId="37" fillId="0" borderId="12" xfId="247" applyFont="1" applyBorder="1" applyAlignment="1">
      <alignment horizontal="center"/>
    </xf>
    <xf numFmtId="184" fontId="37" fillId="0" borderId="12" xfId="54" applyNumberFormat="1" applyFont="1" applyBorder="1" applyAlignment="1">
      <alignment horizontal="center"/>
    </xf>
  </cellXfs>
  <cellStyles count="256">
    <cellStyle name="_jsg" xfId="6" xr:uid="{00000000-0005-0000-0000-000000000000}"/>
    <cellStyle name="_Notification_Media Packs_ASEAN (495)" xfId="249" xr:uid="{00000000-0005-0000-0000-000001000000}"/>
    <cellStyle name="=C:\WINDOWS\SYSTEM32\COMMAND.COM" xfId="7" xr:uid="{00000000-0005-0000-0000-000002000000}"/>
    <cellStyle name="0,0_x000a__x000a_NA_x000a__x000a_ 2" xfId="8" xr:uid="{00000000-0005-0000-0000-000003000000}"/>
    <cellStyle name="0,0_x000a__x000a_NA_x000a__x000a_ 2 2" xfId="9" xr:uid="{00000000-0005-0000-0000-000004000000}"/>
    <cellStyle name="0,0_x000d__x000a_NA_x000d__x000a_" xfId="1" xr:uid="{00000000-0005-0000-0000-000005000000}"/>
    <cellStyle name="0,0_x000d__x000a_NA_x000d__x000a_ 10" xfId="238" xr:uid="{00000000-0005-0000-0000-000006000000}"/>
    <cellStyle name="0,0_x000d__x000a_NA_x000d__x000a_ 11" xfId="251" xr:uid="{AAD51E94-68A6-482A-A6AE-E2DD8CF480FA}"/>
    <cellStyle name="0,0_x000d__x000a_NA_x000d__x000a_ 2" xfId="11" xr:uid="{00000000-0005-0000-0000-000007000000}"/>
    <cellStyle name="0,0_x000d__x000a_NA_x000d__x000a_ 2 2" xfId="12" xr:uid="{00000000-0005-0000-0000-000008000000}"/>
    <cellStyle name="0,0_x000d__x000a_NA_x000d__x000a_ 2 2 2" xfId="13" xr:uid="{00000000-0005-0000-0000-000009000000}"/>
    <cellStyle name="0,0_x000d__x000a_NA_x000d__x000a_ 2 2 3" xfId="14" xr:uid="{00000000-0005-0000-0000-00000A000000}"/>
    <cellStyle name="0,0_x000d__x000a_NA_x000d__x000a_ 2 2 4" xfId="15" xr:uid="{00000000-0005-0000-0000-00000B000000}"/>
    <cellStyle name="0,0_x000d__x000a_NA_x000d__x000a_ 2 3" xfId="16" xr:uid="{00000000-0005-0000-0000-00000C000000}"/>
    <cellStyle name="0,0_x000d__x000a_NA_x000d__x000a_ 2 4" xfId="17" xr:uid="{00000000-0005-0000-0000-00000D000000}"/>
    <cellStyle name="0,0_x000d__x000a_NA_x000d__x000a_ 2 5" xfId="18" xr:uid="{00000000-0005-0000-0000-00000E000000}"/>
    <cellStyle name="0,0_x000d__x000a_NA_x000d__x000a_ 2 6" xfId="19" xr:uid="{00000000-0005-0000-0000-00000F000000}"/>
    <cellStyle name="0,0_x000d__x000a_NA_x000d__x000a_ 2_DS3500 Options" xfId="20" xr:uid="{00000000-0005-0000-0000-000010000000}"/>
    <cellStyle name="0,0_x000d__x000a_NA_x000d__x000a_ 3" xfId="21" xr:uid="{00000000-0005-0000-0000-000011000000}"/>
    <cellStyle name="0,0_x000d__x000a_NA_x000d__x000a_ 3 2" xfId="22" xr:uid="{00000000-0005-0000-0000-000012000000}"/>
    <cellStyle name="0,0_x000d__x000a_NA_x000d__x000a_ 3 2 2" xfId="23" xr:uid="{00000000-0005-0000-0000-000013000000}"/>
    <cellStyle name="0,0_x000d__x000a_NA_x000d__x000a_ 3 2 3" xfId="24" xr:uid="{00000000-0005-0000-0000-000014000000}"/>
    <cellStyle name="0,0_x000d__x000a_NA_x000d__x000a_ 3 2 4" xfId="25" xr:uid="{00000000-0005-0000-0000-000015000000}"/>
    <cellStyle name="0,0_x000d__x000a_NA_x000d__x000a_ 3 2_Sheet1" xfId="26" xr:uid="{00000000-0005-0000-0000-000016000000}"/>
    <cellStyle name="0,0_x000d__x000a_NA_x000d__x000a_ 3 3" xfId="27" xr:uid="{00000000-0005-0000-0000-000017000000}"/>
    <cellStyle name="0,0_x000d__x000a_NA_x000d__x000a_ 3 4" xfId="28" xr:uid="{00000000-0005-0000-0000-000018000000}"/>
    <cellStyle name="0,0_x000d__x000a_NA_x000d__x000a_ 3 5" xfId="29" xr:uid="{00000000-0005-0000-0000-000019000000}"/>
    <cellStyle name="0,0_x000d__x000a_NA_x000d__x000a_ 3_Sheet1" xfId="30" xr:uid="{00000000-0005-0000-0000-00001A000000}"/>
    <cellStyle name="0,0_x000d__x000a_NA_x000d__x000a_ 4" xfId="31" xr:uid="{00000000-0005-0000-0000-00001B000000}"/>
    <cellStyle name="0,0_x000d__x000a_NA_x000d__x000a_ 5" xfId="32" xr:uid="{00000000-0005-0000-0000-00001C000000}"/>
    <cellStyle name="0,0_x000d__x000a_NA_x000d__x000a_ 6" xfId="33" xr:uid="{00000000-0005-0000-0000-00001D000000}"/>
    <cellStyle name="0,0_x000d__x000a_NA_x000d__x000a_ 7" xfId="10" xr:uid="{00000000-0005-0000-0000-00001E000000}"/>
    <cellStyle name="0,0_x000d__x000a_NA_x000d__x000a_ 8" xfId="227" xr:uid="{00000000-0005-0000-0000-00001F000000}"/>
    <cellStyle name="0,0_x000d__x000a_NA_x000d__x000a_ 9" xfId="236" xr:uid="{00000000-0005-0000-0000-000020000000}"/>
    <cellStyle name="0,0_x000d__x000a_NA_x000d__x000a__Sheet1" xfId="34" xr:uid="{00000000-0005-0000-0000-000021000000}"/>
    <cellStyle name="args.style" xfId="35" xr:uid="{00000000-0005-0000-0000-000022000000}"/>
    <cellStyle name="Calc Currency (0)" xfId="36" xr:uid="{00000000-0005-0000-0000-000023000000}"/>
    <cellStyle name="Calc Currency (2)" xfId="37" xr:uid="{00000000-0005-0000-0000-000024000000}"/>
    <cellStyle name="Calc Percent (0)" xfId="38" xr:uid="{00000000-0005-0000-0000-000025000000}"/>
    <cellStyle name="Calc Percent (1)" xfId="39" xr:uid="{00000000-0005-0000-0000-000026000000}"/>
    <cellStyle name="Calc Percent (2)" xfId="40" xr:uid="{00000000-0005-0000-0000-000027000000}"/>
    <cellStyle name="Calc Units (0)" xfId="41" xr:uid="{00000000-0005-0000-0000-000028000000}"/>
    <cellStyle name="Calc Units (1)" xfId="42" xr:uid="{00000000-0005-0000-0000-000029000000}"/>
    <cellStyle name="Calc Units (2)" xfId="43" xr:uid="{00000000-0005-0000-0000-00002A000000}"/>
    <cellStyle name="Comma" xfId="2" builtinId="3"/>
    <cellStyle name="Comma  - Style1" xfId="45" xr:uid="{00000000-0005-0000-0000-00002C000000}"/>
    <cellStyle name="Comma  - Style2" xfId="46" xr:uid="{00000000-0005-0000-0000-00002D000000}"/>
    <cellStyle name="Comma  - Style3" xfId="47" xr:uid="{00000000-0005-0000-0000-00002E000000}"/>
    <cellStyle name="Comma  - Style4" xfId="48" xr:uid="{00000000-0005-0000-0000-00002F000000}"/>
    <cellStyle name="Comma  - Style5" xfId="49" xr:uid="{00000000-0005-0000-0000-000030000000}"/>
    <cellStyle name="Comma  - Style6" xfId="50" xr:uid="{00000000-0005-0000-0000-000031000000}"/>
    <cellStyle name="Comma  - Style7" xfId="51" xr:uid="{00000000-0005-0000-0000-000032000000}"/>
    <cellStyle name="Comma  - Style8" xfId="52" xr:uid="{00000000-0005-0000-0000-000033000000}"/>
    <cellStyle name="Comma [00]" xfId="53" xr:uid="{00000000-0005-0000-0000-000034000000}"/>
    <cellStyle name="Comma 10" xfId="228" xr:uid="{00000000-0005-0000-0000-000035000000}"/>
    <cellStyle name="Comma 11" xfId="235" xr:uid="{00000000-0005-0000-0000-000036000000}"/>
    <cellStyle name="Comma 2" xfId="54" xr:uid="{00000000-0005-0000-0000-000037000000}"/>
    <cellStyle name="Comma 2 2" xfId="55" xr:uid="{00000000-0005-0000-0000-000038000000}"/>
    <cellStyle name="Comma 3" xfId="44" xr:uid="{00000000-0005-0000-0000-000039000000}"/>
    <cellStyle name="Comma 3 2" xfId="254" xr:uid="{C3216266-920B-470F-9CC7-EE8E21E8E31B}"/>
    <cellStyle name="Comma 4" xfId="231" xr:uid="{00000000-0005-0000-0000-00003A000000}"/>
    <cellStyle name="Comma 5" xfId="232" xr:uid="{00000000-0005-0000-0000-00003B000000}"/>
    <cellStyle name="Comma 6" xfId="229" xr:uid="{00000000-0005-0000-0000-00003C000000}"/>
    <cellStyle name="Comma 7" xfId="233" xr:uid="{00000000-0005-0000-0000-00003D000000}"/>
    <cellStyle name="Comma 8" xfId="230" xr:uid="{00000000-0005-0000-0000-00003E000000}"/>
    <cellStyle name="Comma 9" xfId="234" xr:uid="{00000000-0005-0000-0000-00003F000000}"/>
    <cellStyle name="Comma_SMOT" xfId="248" xr:uid="{00000000-0005-0000-0000-000040000000}"/>
    <cellStyle name="Copied" xfId="56" xr:uid="{00000000-0005-0000-0000-000041000000}"/>
    <cellStyle name="COST1" xfId="57" xr:uid="{00000000-0005-0000-0000-000042000000}"/>
    <cellStyle name="Currency [00]" xfId="58" xr:uid="{00000000-0005-0000-0000-000043000000}"/>
    <cellStyle name="Date Short" xfId="59" xr:uid="{00000000-0005-0000-0000-000044000000}"/>
    <cellStyle name="DELTA" xfId="60" xr:uid="{00000000-0005-0000-0000-000045000000}"/>
    <cellStyle name="Enter Currency (0)" xfId="61" xr:uid="{00000000-0005-0000-0000-000046000000}"/>
    <cellStyle name="Enter Currency (2)" xfId="62" xr:uid="{00000000-0005-0000-0000-000047000000}"/>
    <cellStyle name="Enter Units (0)" xfId="63" xr:uid="{00000000-0005-0000-0000-000048000000}"/>
    <cellStyle name="Enter Units (1)" xfId="64" xr:uid="{00000000-0005-0000-0000-000049000000}"/>
    <cellStyle name="Enter Units (2)" xfId="65" xr:uid="{00000000-0005-0000-0000-00004A000000}"/>
    <cellStyle name="Entered" xfId="66" xr:uid="{00000000-0005-0000-0000-00004B000000}"/>
    <cellStyle name="Excel_BuiltIn_Comma 1" xfId="67" xr:uid="{00000000-0005-0000-0000-00004C000000}"/>
    <cellStyle name="Followed Hyperlink" xfId="246" builtinId="9" hidden="1"/>
    <cellStyle name="Grey" xfId="68" xr:uid="{00000000-0005-0000-0000-00004E000000}"/>
    <cellStyle name="Header1" xfId="69" xr:uid="{00000000-0005-0000-0000-00004F000000}"/>
    <cellStyle name="Header2" xfId="70" xr:uid="{00000000-0005-0000-0000-000050000000}"/>
    <cellStyle name="HEADINGS" xfId="71" xr:uid="{00000000-0005-0000-0000-000051000000}"/>
    <cellStyle name="HEADINGSTOP" xfId="72" xr:uid="{00000000-0005-0000-0000-000052000000}"/>
    <cellStyle name="Hyperlink" xfId="245" builtinId="8" hidden="1"/>
    <cellStyle name="Input [yellow]" xfId="73" xr:uid="{00000000-0005-0000-0000-000054000000}"/>
    <cellStyle name="Input Cells" xfId="74" xr:uid="{00000000-0005-0000-0000-000055000000}"/>
    <cellStyle name="Link Currency (0)" xfId="75" xr:uid="{00000000-0005-0000-0000-000056000000}"/>
    <cellStyle name="Link Currency (2)" xfId="76" xr:uid="{00000000-0005-0000-0000-000057000000}"/>
    <cellStyle name="Link Units (0)" xfId="77" xr:uid="{00000000-0005-0000-0000-000058000000}"/>
    <cellStyle name="Link Units (1)" xfId="78" xr:uid="{00000000-0005-0000-0000-000059000000}"/>
    <cellStyle name="Link Units (2)" xfId="79" xr:uid="{00000000-0005-0000-0000-00005A000000}"/>
    <cellStyle name="Linked Cells" xfId="80" xr:uid="{00000000-0005-0000-0000-00005B000000}"/>
    <cellStyle name="Milliers [0]_!!!GO" xfId="81" xr:uid="{00000000-0005-0000-0000-00005C000000}"/>
    <cellStyle name="Milliers_!!!GO" xfId="82" xr:uid="{00000000-0005-0000-0000-00005D000000}"/>
    <cellStyle name="Monétaire [0]_!!!GO" xfId="83" xr:uid="{00000000-0005-0000-0000-00005E000000}"/>
    <cellStyle name="Monétaire_!!!GO" xfId="84" xr:uid="{00000000-0005-0000-0000-00005F000000}"/>
    <cellStyle name="Normal" xfId="0" builtinId="0"/>
    <cellStyle name="Normal - Style1" xfId="85" xr:uid="{00000000-0005-0000-0000-000061000000}"/>
    <cellStyle name="Normal 10" xfId="239" xr:uid="{00000000-0005-0000-0000-000062000000}"/>
    <cellStyle name="Normal 11" xfId="240" xr:uid="{00000000-0005-0000-0000-000063000000}"/>
    <cellStyle name="Normal 12" xfId="241" xr:uid="{00000000-0005-0000-0000-000064000000}"/>
    <cellStyle name="Normal 13" xfId="242" xr:uid="{00000000-0005-0000-0000-000065000000}"/>
    <cellStyle name="Normal 14" xfId="243" xr:uid="{00000000-0005-0000-0000-000066000000}"/>
    <cellStyle name="Normal 15" xfId="86" xr:uid="{00000000-0005-0000-0000-000067000000}"/>
    <cellStyle name="Normal 16" xfId="244" xr:uid="{00000000-0005-0000-0000-000068000000}"/>
    <cellStyle name="Normal 2" xfId="87" xr:uid="{00000000-0005-0000-0000-000069000000}"/>
    <cellStyle name="Normal 2 2" xfId="88" xr:uid="{00000000-0005-0000-0000-00006A000000}"/>
    <cellStyle name="Normal 2 2 2" xfId="89" xr:uid="{00000000-0005-0000-0000-00006B000000}"/>
    <cellStyle name="Normal 2 2 3" xfId="90" xr:uid="{00000000-0005-0000-0000-00006C000000}"/>
    <cellStyle name="Normal 2 2 4" xfId="91" xr:uid="{00000000-0005-0000-0000-00006D000000}"/>
    <cellStyle name="Normal 2 3" xfId="92" xr:uid="{00000000-0005-0000-0000-00006E000000}"/>
    <cellStyle name="Normal 2 4" xfId="93" xr:uid="{00000000-0005-0000-0000-00006F000000}"/>
    <cellStyle name="Normal 2 5" xfId="94" xr:uid="{00000000-0005-0000-0000-000070000000}"/>
    <cellStyle name="Normal 2 6" xfId="95" xr:uid="{00000000-0005-0000-0000-000071000000}"/>
    <cellStyle name="Normal 2 7" xfId="253" xr:uid="{29B1ABBE-5DFF-41E3-A3B2-76B50154333F}"/>
    <cellStyle name="Normal 2_Sheet1" xfId="96" xr:uid="{00000000-0005-0000-0000-000072000000}"/>
    <cellStyle name="Normal 20" xfId="97" xr:uid="{00000000-0005-0000-0000-000073000000}"/>
    <cellStyle name="Normal 20 10" xfId="98" xr:uid="{00000000-0005-0000-0000-000074000000}"/>
    <cellStyle name="Normal 24" xfId="99" xr:uid="{00000000-0005-0000-0000-000075000000}"/>
    <cellStyle name="Normal 29" xfId="100" xr:uid="{00000000-0005-0000-0000-000076000000}"/>
    <cellStyle name="Normal 3" xfId="5" xr:uid="{00000000-0005-0000-0000-000077000000}"/>
    <cellStyle name="Normal 3 2" xfId="101" xr:uid="{00000000-0005-0000-0000-000078000000}"/>
    <cellStyle name="Normal 3 3" xfId="102" xr:uid="{00000000-0005-0000-0000-000079000000}"/>
    <cellStyle name="Normal 3 4" xfId="103" xr:uid="{00000000-0005-0000-0000-00007A000000}"/>
    <cellStyle name="Normal 4" xfId="104" xr:uid="{00000000-0005-0000-0000-00007B000000}"/>
    <cellStyle name="Normal 4 2" xfId="105" xr:uid="{00000000-0005-0000-0000-00007C000000}"/>
    <cellStyle name="Normal 49" xfId="106" xr:uid="{00000000-0005-0000-0000-00007D000000}"/>
    <cellStyle name="Normal 5" xfId="107" xr:uid="{00000000-0005-0000-0000-00007E000000}"/>
    <cellStyle name="Normal 50" xfId="108" xr:uid="{00000000-0005-0000-0000-00007F000000}"/>
    <cellStyle name="Normal 6" xfId="109" xr:uid="{00000000-0005-0000-0000-000080000000}"/>
    <cellStyle name="Normal 7" xfId="110" xr:uid="{00000000-0005-0000-0000-000081000000}"/>
    <cellStyle name="Normal 8" xfId="226" xr:uid="{00000000-0005-0000-0000-000082000000}"/>
    <cellStyle name="Normal 9" xfId="237" xr:uid="{00000000-0005-0000-0000-000083000000}"/>
    <cellStyle name="Normal_Sheet1" xfId="3" xr:uid="{00000000-0005-0000-0000-000084000000}"/>
    <cellStyle name="Normal_SMOT" xfId="247" xr:uid="{00000000-0005-0000-0000-000085000000}"/>
    <cellStyle name="Œ…‹æØ‚è [0.00]_laroux" xfId="111" xr:uid="{00000000-0005-0000-0000-000086000000}"/>
    <cellStyle name="Œ…‹æØ‚è_laroux" xfId="112" xr:uid="{00000000-0005-0000-0000-000087000000}"/>
    <cellStyle name="per.style" xfId="113" xr:uid="{00000000-0005-0000-0000-000088000000}"/>
    <cellStyle name="Percent [0]" xfId="114" xr:uid="{00000000-0005-0000-0000-000089000000}"/>
    <cellStyle name="Percent [00]" xfId="115" xr:uid="{00000000-0005-0000-0000-00008A000000}"/>
    <cellStyle name="Percent [2]" xfId="116" xr:uid="{00000000-0005-0000-0000-00008B000000}"/>
    <cellStyle name="Percent 2" xfId="117" xr:uid="{00000000-0005-0000-0000-00008C000000}"/>
    <cellStyle name="Percent 2 2" xfId="118" xr:uid="{00000000-0005-0000-0000-00008D000000}"/>
    <cellStyle name="Percent 3" xfId="119" xr:uid="{00000000-0005-0000-0000-00008E000000}"/>
    <cellStyle name="Percent 3 2" xfId="255" xr:uid="{55BD5B96-4A05-40DC-B2D9-BFF5289A30C4}"/>
    <cellStyle name="Percent 4" xfId="250" xr:uid="{00000000-0005-0000-0000-00008F000000}"/>
    <cellStyle name="PrePop Currency (0)" xfId="120" xr:uid="{00000000-0005-0000-0000-000090000000}"/>
    <cellStyle name="PrePop Currency (2)" xfId="121" xr:uid="{00000000-0005-0000-0000-000091000000}"/>
    <cellStyle name="PrePop Units (0)" xfId="122" xr:uid="{00000000-0005-0000-0000-000092000000}"/>
    <cellStyle name="PrePop Units (1)" xfId="123" xr:uid="{00000000-0005-0000-0000-000093000000}"/>
    <cellStyle name="PrePop Units (2)" xfId="124" xr:uid="{00000000-0005-0000-0000-000094000000}"/>
    <cellStyle name="pricing" xfId="125" xr:uid="{00000000-0005-0000-0000-000095000000}"/>
    <cellStyle name="PSChar" xfId="126" xr:uid="{00000000-0005-0000-0000-000096000000}"/>
    <cellStyle name="regstoresfromspecstores" xfId="127" xr:uid="{00000000-0005-0000-0000-000097000000}"/>
    <cellStyle name="RevList" xfId="128" xr:uid="{00000000-0005-0000-0000-000098000000}"/>
    <cellStyle name="SHADEDSTORES" xfId="129" xr:uid="{00000000-0005-0000-0000-000099000000}"/>
    <cellStyle name="specstores" xfId="130" xr:uid="{00000000-0005-0000-0000-00009A000000}"/>
    <cellStyle name="STANDARD" xfId="131" xr:uid="{00000000-0005-0000-0000-00009B000000}"/>
    <cellStyle name="Style 1" xfId="4" xr:uid="{00000000-0005-0000-0000-00009C000000}"/>
    <cellStyle name="Style 1 2" xfId="133" xr:uid="{00000000-0005-0000-0000-00009D000000}"/>
    <cellStyle name="Style 1 3" xfId="134" xr:uid="{00000000-0005-0000-0000-00009E000000}"/>
    <cellStyle name="Style 1 4" xfId="135" xr:uid="{00000000-0005-0000-0000-00009F000000}"/>
    <cellStyle name="Style 1 5" xfId="132" xr:uid="{00000000-0005-0000-0000-0000A0000000}"/>
    <cellStyle name="Subtotal" xfId="136" xr:uid="{00000000-0005-0000-0000-0000A1000000}"/>
    <cellStyle name="Text Indent A" xfId="137" xr:uid="{00000000-0005-0000-0000-0000A2000000}"/>
    <cellStyle name="Text Indent B" xfId="138" xr:uid="{00000000-0005-0000-0000-0000A3000000}"/>
    <cellStyle name="Text Indent C" xfId="139" xr:uid="{00000000-0005-0000-0000-0000A4000000}"/>
    <cellStyle name="เครื่องหมายจุลภาค 2" xfId="140" xr:uid="{00000000-0005-0000-0000-0000A5000000}"/>
    <cellStyle name="เครื่องหมายจุลภาค 2 2" xfId="141" xr:uid="{00000000-0005-0000-0000-0000A6000000}"/>
    <cellStyle name="เครื่องหมายจุลภาค 2 3" xfId="142" xr:uid="{00000000-0005-0000-0000-0000A7000000}"/>
    <cellStyle name="เครื่องหมายจุลภาค 2 4" xfId="143" xr:uid="{00000000-0005-0000-0000-0000A8000000}"/>
    <cellStyle name="เครื่องหมายจุลภาค 3" xfId="144" xr:uid="{00000000-0005-0000-0000-0000A9000000}"/>
    <cellStyle name="เครื่องหมายจุลภาค 3 2" xfId="145" xr:uid="{00000000-0005-0000-0000-0000AA000000}"/>
    <cellStyle name="เครื่องหมายจุลภาค 3 2 2" xfId="146" xr:uid="{00000000-0005-0000-0000-0000AB000000}"/>
    <cellStyle name="เครื่องหมายจุลภาค 3 3" xfId="147" xr:uid="{00000000-0005-0000-0000-0000AC000000}"/>
    <cellStyle name="เครื่องหมายจุลภาค 4" xfId="148" xr:uid="{00000000-0005-0000-0000-0000AD000000}"/>
    <cellStyle name="เครื่องหมายจุลภาค 4 2" xfId="149" xr:uid="{00000000-0005-0000-0000-0000AE000000}"/>
    <cellStyle name="เครื่องหมายจุลภาค 4 2 2" xfId="150" xr:uid="{00000000-0005-0000-0000-0000AF000000}"/>
    <cellStyle name="เครื่องหมายจุลภาค 4 2 2 2" xfId="151" xr:uid="{00000000-0005-0000-0000-0000B0000000}"/>
    <cellStyle name="เครื่องหมายจุลภาค 4 2 2 3" xfId="152" xr:uid="{00000000-0005-0000-0000-0000B1000000}"/>
    <cellStyle name="เครื่องหมายจุลภาค 4 2 2 4" xfId="153" xr:uid="{00000000-0005-0000-0000-0000B2000000}"/>
    <cellStyle name="เครื่องหมายจุลภาค 4 2 3" xfId="154" xr:uid="{00000000-0005-0000-0000-0000B3000000}"/>
    <cellStyle name="เครื่องหมายจุลภาค 4 2 4" xfId="155" xr:uid="{00000000-0005-0000-0000-0000B4000000}"/>
    <cellStyle name="เครื่องหมายจุลภาค 4 2 5" xfId="156" xr:uid="{00000000-0005-0000-0000-0000B5000000}"/>
    <cellStyle name="เครื่องหมายจุลภาค 4 3" xfId="157" xr:uid="{00000000-0005-0000-0000-0000B6000000}"/>
    <cellStyle name="เครื่องหมายจุลภาค 4 4" xfId="158" xr:uid="{00000000-0005-0000-0000-0000B7000000}"/>
    <cellStyle name="เครื่องหมายจุลภาค 4 5" xfId="159" xr:uid="{00000000-0005-0000-0000-0000B8000000}"/>
    <cellStyle name="เครื่องหมายจุลภาค 5" xfId="160" xr:uid="{00000000-0005-0000-0000-0000B9000000}"/>
    <cellStyle name="เครื่องหมายจุลภาค 5 2" xfId="161" xr:uid="{00000000-0005-0000-0000-0000BA000000}"/>
    <cellStyle name="เครื่องหมายจุลภาค 5 2 2" xfId="162" xr:uid="{00000000-0005-0000-0000-0000BB000000}"/>
    <cellStyle name="เครื่องหมายจุลภาค 5 2 2 2" xfId="163" xr:uid="{00000000-0005-0000-0000-0000BC000000}"/>
    <cellStyle name="เครื่องหมายจุลภาค 5 2 2 3" xfId="164" xr:uid="{00000000-0005-0000-0000-0000BD000000}"/>
    <cellStyle name="เครื่องหมายจุลภาค 5 2 2 4" xfId="165" xr:uid="{00000000-0005-0000-0000-0000BE000000}"/>
    <cellStyle name="เครื่องหมายจุลภาค 5 2 3" xfId="166" xr:uid="{00000000-0005-0000-0000-0000BF000000}"/>
    <cellStyle name="เครื่องหมายจุลภาค 5 2 3 2" xfId="167" xr:uid="{00000000-0005-0000-0000-0000C0000000}"/>
    <cellStyle name="เครื่องหมายจุลภาค 5 2 3 3" xfId="168" xr:uid="{00000000-0005-0000-0000-0000C1000000}"/>
    <cellStyle name="เครื่องหมายจุลภาค 5 2 3 4" xfId="169" xr:uid="{00000000-0005-0000-0000-0000C2000000}"/>
    <cellStyle name="เครื่องหมายจุลภาค 5 2 4" xfId="170" xr:uid="{00000000-0005-0000-0000-0000C3000000}"/>
    <cellStyle name="เครื่องหมายจุลภาค 5 2 5" xfId="171" xr:uid="{00000000-0005-0000-0000-0000C4000000}"/>
    <cellStyle name="เครื่องหมายจุลภาค 5 3" xfId="172" xr:uid="{00000000-0005-0000-0000-0000C5000000}"/>
    <cellStyle name="เครื่องหมายจุลภาค 5 4" xfId="173" xr:uid="{00000000-0005-0000-0000-0000C6000000}"/>
    <cellStyle name="เครื่องหมายจุลภาค 5 5" xfId="174" xr:uid="{00000000-0005-0000-0000-0000C7000000}"/>
    <cellStyle name="เครื่องหมายจุลภาค 6" xfId="175" xr:uid="{00000000-0005-0000-0000-0000C8000000}"/>
    <cellStyle name="เครื่องหมายจุลภาค 6 2" xfId="176" xr:uid="{00000000-0005-0000-0000-0000C9000000}"/>
    <cellStyle name="เครื่องหมายจุลภาค 6 2 2" xfId="177" xr:uid="{00000000-0005-0000-0000-0000CA000000}"/>
    <cellStyle name="เครื่องหมายจุลภาค 6 2 3" xfId="178" xr:uid="{00000000-0005-0000-0000-0000CB000000}"/>
    <cellStyle name="เครื่องหมายจุลภาค 6 2 4" xfId="179" xr:uid="{00000000-0005-0000-0000-0000CC000000}"/>
    <cellStyle name="เครื่องหมายจุลภาค 6 3" xfId="180" xr:uid="{00000000-0005-0000-0000-0000CD000000}"/>
    <cellStyle name="เครื่องหมายจุลภาค 6 3 2" xfId="181" xr:uid="{00000000-0005-0000-0000-0000CE000000}"/>
    <cellStyle name="เครื่องหมายจุลภาค 6 3 3" xfId="182" xr:uid="{00000000-0005-0000-0000-0000CF000000}"/>
    <cellStyle name="เครื่องหมายจุลภาค 6 3 4" xfId="183" xr:uid="{00000000-0005-0000-0000-0000D0000000}"/>
    <cellStyle name="เครื่องหมายจุลภาค 6 4" xfId="184" xr:uid="{00000000-0005-0000-0000-0000D1000000}"/>
    <cellStyle name="เครื่องหมายจุลภาค 6 5" xfId="185" xr:uid="{00000000-0005-0000-0000-0000D2000000}"/>
    <cellStyle name="เครื่องหมายจุลภาค 6 6" xfId="186" xr:uid="{00000000-0005-0000-0000-0000D3000000}"/>
    <cellStyle name="เครื่องหมายจุลภาค 7" xfId="187" xr:uid="{00000000-0005-0000-0000-0000D4000000}"/>
    <cellStyle name="เครื่องหมายจุลภาค 7 2" xfId="188" xr:uid="{00000000-0005-0000-0000-0000D5000000}"/>
    <cellStyle name="เครื่องหมายจุลภาค 7 3" xfId="189" xr:uid="{00000000-0005-0000-0000-0000D6000000}"/>
    <cellStyle name="เครื่องหมายจุลภาค 8" xfId="190" xr:uid="{00000000-0005-0000-0000-0000D7000000}"/>
    <cellStyle name="เครื่องหมายจุลภาค 8 2" xfId="191" xr:uid="{00000000-0005-0000-0000-0000D8000000}"/>
    <cellStyle name="ปกติ 2" xfId="192" xr:uid="{00000000-0005-0000-0000-0000D9000000}"/>
    <cellStyle name="ปกติ 2 2" xfId="193" xr:uid="{00000000-0005-0000-0000-0000DA000000}"/>
    <cellStyle name="ปกติ 2 2 2" xfId="194" xr:uid="{00000000-0005-0000-0000-0000DB000000}"/>
    <cellStyle name="ปกติ 2 2 3" xfId="195" xr:uid="{00000000-0005-0000-0000-0000DC000000}"/>
    <cellStyle name="ปกติ 2 2 4" xfId="196" xr:uid="{00000000-0005-0000-0000-0000DD000000}"/>
    <cellStyle name="ปกติ 2 3" xfId="197" xr:uid="{00000000-0005-0000-0000-0000DE000000}"/>
    <cellStyle name="ปกติ 2 4" xfId="198" xr:uid="{00000000-0005-0000-0000-0000DF000000}"/>
    <cellStyle name="ปกติ 2 5" xfId="199" xr:uid="{00000000-0005-0000-0000-0000E0000000}"/>
    <cellStyle name="ปกติ 2_Sheet1" xfId="200" xr:uid="{00000000-0005-0000-0000-0000E1000000}"/>
    <cellStyle name="ปกติ 3" xfId="252" xr:uid="{C2C335F1-B9B8-469A-9509-5CAC8F48F0FC}"/>
    <cellStyle name="เปอร์เซ็นต์ 2" xfId="201" xr:uid="{00000000-0005-0000-0000-0000E2000000}"/>
    <cellStyle name="เปอร์เซ็นต์ 2 2" xfId="202" xr:uid="{00000000-0005-0000-0000-0000E3000000}"/>
    <cellStyle name="เปอร์เซ็นต์ 3" xfId="203" xr:uid="{00000000-0005-0000-0000-0000E4000000}"/>
    <cellStyle name="เปอร์เซ็นต์ 3 2" xfId="204" xr:uid="{00000000-0005-0000-0000-0000E5000000}"/>
    <cellStyle name="เปอร์เซ็นต์ 3 2 2" xfId="205" xr:uid="{00000000-0005-0000-0000-0000E6000000}"/>
    <cellStyle name="เปอร์เซ็นต์ 4" xfId="206" xr:uid="{00000000-0005-0000-0000-0000E7000000}"/>
    <cellStyle name="เปอร์เซ็นต์ 4 2" xfId="207" xr:uid="{00000000-0005-0000-0000-0000E8000000}"/>
    <cellStyle name="เปอร์เซ็นต์ 5" xfId="208" xr:uid="{00000000-0005-0000-0000-0000E9000000}"/>
    <cellStyle name="เปอร์เซ็นต์ 5 2" xfId="209" xr:uid="{00000000-0005-0000-0000-0000EA000000}"/>
    <cellStyle name="เปอร์เซ็นต์ 5 2 2" xfId="210" xr:uid="{00000000-0005-0000-0000-0000EB000000}"/>
    <cellStyle name="เปอร์เซ็นต์ 5 3" xfId="211" xr:uid="{00000000-0005-0000-0000-0000EC000000}"/>
    <cellStyle name="เปอร์เซ็นต์ 6" xfId="212" xr:uid="{00000000-0005-0000-0000-0000ED000000}"/>
    <cellStyle name="เปอร์เซ็นต์ 6 2" xfId="213" xr:uid="{00000000-0005-0000-0000-0000EE000000}"/>
    <cellStyle name="เปอร์เซ็นต์ 6 2 2" xfId="214" xr:uid="{00000000-0005-0000-0000-0000EF000000}"/>
    <cellStyle name="เปอร์เซ็นต์ 6 3" xfId="215" xr:uid="{00000000-0005-0000-0000-0000F0000000}"/>
    <cellStyle name="เปอร์เซ็นต์ 7" xfId="216" xr:uid="{00000000-0005-0000-0000-0000F1000000}"/>
    <cellStyle name="เปอร์เซ็นต์ 7 2" xfId="217" xr:uid="{00000000-0005-0000-0000-0000F2000000}"/>
    <cellStyle name="เปอร์เซ็นต์ 8" xfId="218" xr:uid="{00000000-0005-0000-0000-0000F3000000}"/>
    <cellStyle name="เปอร์เซ็นต์ 8 2" xfId="219" xr:uid="{00000000-0005-0000-0000-0000F4000000}"/>
    <cellStyle name="ลักษณะ 1" xfId="220" xr:uid="{00000000-0005-0000-0000-0000F5000000}"/>
    <cellStyle name="桁区切り [0.00]_PERSONAL" xfId="221" xr:uid="{00000000-0005-0000-0000-0000F6000000}"/>
    <cellStyle name="桁区切り_PERSONAL" xfId="222" xr:uid="{00000000-0005-0000-0000-0000F7000000}"/>
    <cellStyle name="標準_PERSONAL" xfId="223" xr:uid="{00000000-0005-0000-0000-0000F8000000}"/>
    <cellStyle name="通貨 [0.00]_PERSONAL" xfId="224" xr:uid="{00000000-0005-0000-0000-0000F9000000}"/>
    <cellStyle name="通貨_PERSONAL" xfId="225" xr:uid="{00000000-0005-0000-0000-0000FA000000}"/>
  </cellStyles>
  <dxfs count="0"/>
  <tableStyles count="0" defaultTableStyle="TableStyleMedium9" defaultPivotStyle="PivotStyleLight16"/>
  <colors>
    <mruColors>
      <color rgb="FFA56EFF"/>
      <color rgb="FF006300"/>
      <color rgb="FF041AAB"/>
      <color rgb="FF17317E"/>
      <color rgb="FF0432FF"/>
      <color rgb="FFFF9300"/>
      <color rgb="FFFDB751"/>
      <color rgb="FFFB9705"/>
      <color rgb="FFF89F5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8555</xdr:colOff>
      <xdr:row>0</xdr:row>
      <xdr:rowOff>0</xdr:rowOff>
    </xdr:from>
    <xdr:to>
      <xdr:col>5</xdr:col>
      <xdr:colOff>1519669</xdr:colOff>
      <xdr:row>2</xdr:row>
      <xdr:rowOff>187658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E3A98D78-7335-4168-A7FF-65D1BE0DC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826" y="0"/>
          <a:ext cx="2604808" cy="510387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134470</xdr:colOff>
      <xdr:row>1</xdr:row>
      <xdr:rowOff>215153</xdr:rowOff>
    </xdr:from>
    <xdr:to>
      <xdr:col>1</xdr:col>
      <xdr:colOff>1328225</xdr:colOff>
      <xdr:row>5</xdr:row>
      <xdr:rowOff>182510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529952-C12A-3E99-EAE8-5BD8A89E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0" y="313765"/>
          <a:ext cx="1946790" cy="971404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60</xdr:row>
      <xdr:rowOff>0</xdr:rowOff>
    </xdr:from>
    <xdr:to>
      <xdr:col>5</xdr:col>
      <xdr:colOff>153398</xdr:colOff>
      <xdr:row>61</xdr:row>
      <xdr:rowOff>141721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7812F4-9A72-405C-B118-3F88A8EA1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13087350"/>
          <a:ext cx="1239248" cy="360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28795</xdr:colOff>
      <xdr:row>0</xdr:row>
      <xdr:rowOff>72533</xdr:rowOff>
    </xdr:from>
    <xdr:ext cx="864686" cy="468066"/>
    <xdr:pic>
      <xdr:nvPicPr>
        <xdr:cNvPr id="2" name="Picture 1">
          <a:extLst>
            <a:ext uri="{FF2B5EF4-FFF2-40B4-BE49-F238E27FC236}">
              <a16:creationId xmlns:a16="http://schemas.microsoft.com/office/drawing/2014/main" id="{CE1C538D-F2C7-46C0-9306-F0D11D4C0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95" y="72533"/>
          <a:ext cx="864686" cy="46806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14941</xdr:colOff>
      <xdr:row>0</xdr:row>
      <xdr:rowOff>44824</xdr:rowOff>
    </xdr:from>
    <xdr:ext cx="743250" cy="508802"/>
    <xdr:pic>
      <xdr:nvPicPr>
        <xdr:cNvPr id="2" name="Picture 1">
          <a:extLst>
            <a:ext uri="{FF2B5EF4-FFF2-40B4-BE49-F238E27FC236}">
              <a16:creationId xmlns:a16="http://schemas.microsoft.com/office/drawing/2014/main" id="{B0C2A6CF-03C9-437C-8632-0B1D4DCF0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1" y="44824"/>
          <a:ext cx="743250" cy="5088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10AC-52D5-4169-BCE6-D4D6A47AB3A6}">
  <sheetPr>
    <pageSetUpPr fitToPage="1"/>
  </sheetPr>
  <dimension ref="A1:K64"/>
  <sheetViews>
    <sheetView tabSelected="1" zoomScale="80" zoomScaleNormal="175" zoomScalePageLayoutView="70" workbookViewId="0">
      <selection activeCell="C7" sqref="C7"/>
    </sheetView>
  </sheetViews>
  <sheetFormatPr baseColWidth="10" defaultColWidth="9.19921875" defaultRowHeight="17" customHeight="1"/>
  <cols>
    <col min="1" max="1" width="12.3984375" style="12" customWidth="1"/>
    <col min="2" max="2" width="25.3984375" style="12" customWidth="1"/>
    <col min="3" max="3" width="86.796875" style="12" customWidth="1"/>
    <col min="4" max="4" width="7.59765625" style="12" customWidth="1"/>
    <col min="5" max="5" width="18" style="12" customWidth="1"/>
    <col min="6" max="6" width="29.796875" style="12" customWidth="1"/>
    <col min="7" max="7" width="9.19921875" style="12"/>
    <col min="8" max="8" width="11.796875" style="12" bestFit="1" customWidth="1"/>
    <col min="9" max="9" width="9.19921875" style="12"/>
    <col min="10" max="10" width="20" style="12" bestFit="1" customWidth="1"/>
    <col min="11" max="16384" width="9.19921875" style="12"/>
  </cols>
  <sheetData>
    <row r="1" spans="1:7" ht="8" customHeight="1"/>
    <row r="2" spans="1:7" ht="18">
      <c r="C2" s="181" t="s">
        <v>102</v>
      </c>
    </row>
    <row r="3" spans="1:7" ht="18">
      <c r="A3" s="13"/>
      <c r="B3" s="13"/>
      <c r="C3" s="182" t="s">
        <v>103</v>
      </c>
      <c r="E3" s="277"/>
      <c r="F3" s="277"/>
    </row>
    <row r="4" spans="1:7" ht="18">
      <c r="C4" s="182" t="s">
        <v>104</v>
      </c>
      <c r="E4" s="247" t="s">
        <v>88</v>
      </c>
      <c r="F4" s="247"/>
    </row>
    <row r="5" spans="1:7" ht="25.75" customHeight="1">
      <c r="C5" s="181" t="s">
        <v>105</v>
      </c>
      <c r="E5" s="247" t="s">
        <v>89</v>
      </c>
      <c r="F5" s="247"/>
    </row>
    <row r="6" spans="1:7" ht="18">
      <c r="C6" s="182" t="s">
        <v>107</v>
      </c>
      <c r="E6" s="278"/>
      <c r="F6" s="278"/>
    </row>
    <row r="7" spans="1:7" ht="18">
      <c r="C7" s="182" t="s">
        <v>106</v>
      </c>
      <c r="E7" s="15"/>
      <c r="F7" s="15"/>
    </row>
    <row r="8" spans="1:7" ht="17" customHeight="1">
      <c r="A8" s="78" t="s">
        <v>14</v>
      </c>
      <c r="B8" s="79"/>
      <c r="F8" s="16"/>
      <c r="G8" s="12" t="s">
        <v>8</v>
      </c>
    </row>
    <row r="9" spans="1:7" ht="17" customHeight="1">
      <c r="A9" s="78" t="s">
        <v>15</v>
      </c>
      <c r="B9" s="79"/>
      <c r="F9" s="16"/>
    </row>
    <row r="10" spans="1:7" s="17" customFormat="1" ht="22" customHeight="1">
      <c r="A10" s="80" t="s">
        <v>16</v>
      </c>
      <c r="B10" s="81"/>
    </row>
    <row r="11" spans="1:7" s="17" customFormat="1" ht="20">
      <c r="A11" s="82"/>
      <c r="B11" s="83"/>
    </row>
    <row r="12" spans="1:7" ht="17" customHeight="1">
      <c r="F12" s="16"/>
    </row>
    <row r="13" spans="1:7" s="18" customFormat="1" ht="20">
      <c r="A13" s="247" t="s">
        <v>9</v>
      </c>
      <c r="B13" s="247"/>
      <c r="C13" s="247"/>
      <c r="D13" s="247"/>
      <c r="E13" s="247"/>
      <c r="F13" s="247"/>
    </row>
    <row r="14" spans="1:7" ht="8" customHeight="1">
      <c r="A14" s="14"/>
      <c r="B14" s="14"/>
      <c r="C14" s="14"/>
      <c r="D14" s="14"/>
      <c r="E14" s="14"/>
      <c r="F14" s="14"/>
    </row>
    <row r="15" spans="1:7" ht="17" customHeight="1">
      <c r="A15" s="274" t="s">
        <v>84</v>
      </c>
      <c r="B15" s="275"/>
      <c r="C15" s="275"/>
      <c r="D15" s="275" t="s">
        <v>82</v>
      </c>
      <c r="E15" s="275"/>
      <c r="F15" s="276"/>
    </row>
    <row r="16" spans="1:7" ht="17" customHeight="1">
      <c r="A16" s="261" t="s">
        <v>85</v>
      </c>
      <c r="B16" s="262"/>
      <c r="C16" s="262"/>
      <c r="D16" s="262" t="s">
        <v>83</v>
      </c>
      <c r="E16" s="262"/>
      <c r="F16" s="263"/>
    </row>
    <row r="17" spans="1:11" ht="17" customHeight="1">
      <c r="A17" s="264" t="s">
        <v>90</v>
      </c>
      <c r="B17" s="265"/>
      <c r="C17" s="265"/>
      <c r="D17" s="265" t="s">
        <v>18</v>
      </c>
      <c r="E17" s="265"/>
      <c r="F17" s="266"/>
    </row>
    <row r="18" spans="1:11" ht="17" customHeight="1">
      <c r="A18" s="267" t="s">
        <v>10</v>
      </c>
      <c r="B18" s="267" t="s">
        <v>17</v>
      </c>
      <c r="C18" s="269" t="s">
        <v>11</v>
      </c>
      <c r="D18" s="271" t="s">
        <v>12</v>
      </c>
      <c r="E18" s="270" t="s">
        <v>94</v>
      </c>
      <c r="F18" s="273" t="s">
        <v>13</v>
      </c>
    </row>
    <row r="19" spans="1:11" ht="17" customHeight="1">
      <c r="A19" s="268"/>
      <c r="B19" s="268"/>
      <c r="C19" s="270"/>
      <c r="D19" s="272"/>
      <c r="E19" s="273"/>
      <c r="F19" s="273"/>
    </row>
    <row r="20" spans="1:11" ht="21" customHeight="1">
      <c r="A20" s="84"/>
      <c r="B20" s="85"/>
      <c r="C20" s="86"/>
      <c r="D20" s="87"/>
      <c r="E20" s="153"/>
      <c r="F20" s="157"/>
    </row>
    <row r="21" spans="1:11" ht="18">
      <c r="A21" s="88"/>
      <c r="B21" s="89"/>
      <c r="C21" s="90"/>
      <c r="D21" s="91"/>
      <c r="E21" s="92"/>
      <c r="F21" s="158"/>
    </row>
    <row r="22" spans="1:11" ht="17" customHeight="1">
      <c r="A22" s="93"/>
      <c r="B22" s="94"/>
      <c r="C22" s="95"/>
      <c r="D22" s="96"/>
      <c r="E22" s="97"/>
      <c r="F22" s="158"/>
      <c r="H22" s="19"/>
    </row>
    <row r="23" spans="1:11" s="19" customFormat="1" ht="17" customHeight="1">
      <c r="A23" s="93"/>
      <c r="B23" s="98"/>
      <c r="C23" s="95"/>
      <c r="D23" s="99"/>
      <c r="E23" s="97"/>
      <c r="F23" s="158"/>
      <c r="J23" s="100"/>
      <c r="K23" s="101"/>
    </row>
    <row r="24" spans="1:11" s="19" customFormat="1" ht="17" customHeight="1">
      <c r="A24" s="93"/>
      <c r="B24" s="98"/>
      <c r="C24" s="95"/>
      <c r="D24" s="102"/>
      <c r="E24" s="97"/>
      <c r="F24" s="158"/>
      <c r="J24" s="100"/>
    </row>
    <row r="25" spans="1:11" s="19" customFormat="1" ht="17" customHeight="1">
      <c r="A25" s="93"/>
      <c r="B25" s="94"/>
      <c r="C25" s="103"/>
      <c r="D25" s="96"/>
      <c r="E25" s="104"/>
      <c r="F25" s="158"/>
      <c r="J25" s="100"/>
    </row>
    <row r="26" spans="1:11" s="19" customFormat="1" ht="17" customHeight="1">
      <c r="A26" s="93"/>
      <c r="B26" s="94"/>
      <c r="C26" s="95"/>
      <c r="D26" s="96"/>
      <c r="E26" s="104"/>
      <c r="F26" s="158"/>
      <c r="J26" s="100"/>
    </row>
    <row r="27" spans="1:11" s="19" customFormat="1" ht="17" customHeight="1">
      <c r="A27" s="93"/>
      <c r="B27" s="94"/>
      <c r="C27" s="95"/>
      <c r="D27" s="96"/>
      <c r="E27" s="104"/>
      <c r="F27" s="158"/>
      <c r="J27" s="100"/>
      <c r="K27" s="101"/>
    </row>
    <row r="28" spans="1:11" s="19" customFormat="1" ht="17" customHeight="1">
      <c r="A28" s="93"/>
      <c r="B28" s="94"/>
      <c r="C28" s="95"/>
      <c r="D28" s="96"/>
      <c r="E28" s="104"/>
      <c r="F28" s="158"/>
      <c r="J28" s="100"/>
    </row>
    <row r="29" spans="1:11" s="19" customFormat="1" ht="17" customHeight="1">
      <c r="A29" s="93"/>
      <c r="B29" s="105"/>
      <c r="C29" s="106"/>
      <c r="D29" s="107"/>
      <c r="E29" s="108"/>
      <c r="F29" s="158"/>
      <c r="H29" s="20"/>
      <c r="J29" s="100"/>
    </row>
    <row r="30" spans="1:11" s="19" customFormat="1" ht="17" customHeight="1">
      <c r="A30" s="93"/>
      <c r="B30" s="105"/>
      <c r="C30" s="106"/>
      <c r="D30" s="107"/>
      <c r="E30" s="108"/>
      <c r="F30" s="158"/>
      <c r="J30" s="100"/>
    </row>
    <row r="31" spans="1:11" s="19" customFormat="1" ht="17" customHeight="1">
      <c r="A31" s="109"/>
      <c r="B31" s="105"/>
      <c r="C31" s="110"/>
      <c r="D31" s="107"/>
      <c r="E31" s="104"/>
      <c r="F31" s="158"/>
      <c r="J31" s="100"/>
      <c r="K31" s="101"/>
    </row>
    <row r="32" spans="1:11" s="19" customFormat="1" ht="17" customHeight="1">
      <c r="A32" s="109"/>
      <c r="B32" s="105"/>
      <c r="C32" s="110"/>
      <c r="D32" s="111"/>
      <c r="E32" s="154"/>
      <c r="F32" s="158"/>
      <c r="J32" s="100"/>
      <c r="K32" s="101"/>
    </row>
    <row r="33" spans="1:11" s="19" customFormat="1" ht="17" customHeight="1">
      <c r="A33" s="109"/>
      <c r="B33" s="105"/>
      <c r="C33" s="112"/>
      <c r="D33" s="107"/>
      <c r="E33" s="104"/>
      <c r="F33" s="158"/>
      <c r="J33" s="100"/>
      <c r="K33" s="101"/>
    </row>
    <row r="34" spans="1:11" s="19" customFormat="1" ht="17" customHeight="1">
      <c r="A34" s="109"/>
      <c r="B34" s="105"/>
      <c r="C34" s="110"/>
      <c r="D34" s="107"/>
      <c r="E34" s="108"/>
      <c r="F34" s="158"/>
    </row>
    <row r="35" spans="1:11" s="19" customFormat="1" ht="17" customHeight="1">
      <c r="A35" s="113"/>
      <c r="B35" s="113"/>
      <c r="C35" s="114"/>
      <c r="D35" s="107"/>
      <c r="E35" s="115"/>
      <c r="F35" s="158"/>
    </row>
    <row r="36" spans="1:11" s="19" customFormat="1" ht="17" customHeight="1">
      <c r="A36" s="113"/>
      <c r="B36" s="113"/>
      <c r="C36" s="116"/>
      <c r="D36" s="107"/>
      <c r="E36" s="115"/>
      <c r="F36" s="158"/>
    </row>
    <row r="37" spans="1:11" s="19" customFormat="1" ht="17" customHeight="1">
      <c r="A37" s="113"/>
      <c r="B37" s="113"/>
      <c r="C37" s="117"/>
      <c r="D37" s="107"/>
      <c r="E37" s="115"/>
      <c r="F37" s="158"/>
    </row>
    <row r="38" spans="1:11" s="19" customFormat="1" ht="17" customHeight="1">
      <c r="A38" s="113"/>
      <c r="B38" s="113"/>
      <c r="C38" s="118"/>
      <c r="D38" s="119"/>
      <c r="E38" s="115"/>
      <c r="F38" s="158"/>
    </row>
    <row r="39" spans="1:11" s="19" customFormat="1" ht="17" customHeight="1">
      <c r="A39" s="113"/>
      <c r="B39" s="113"/>
      <c r="C39" s="118"/>
      <c r="D39" s="119"/>
      <c r="E39" s="115"/>
      <c r="F39" s="158"/>
    </row>
    <row r="40" spans="1:11" s="19" customFormat="1" ht="17" customHeight="1">
      <c r="A40" s="113"/>
      <c r="B40" s="113"/>
      <c r="C40" s="118"/>
      <c r="D40" s="119"/>
      <c r="E40" s="115"/>
      <c r="F40" s="158"/>
    </row>
    <row r="41" spans="1:11" s="19" customFormat="1" ht="17" customHeight="1">
      <c r="A41" s="113"/>
      <c r="B41" s="113"/>
      <c r="C41" s="120"/>
      <c r="D41" s="119"/>
      <c r="E41" s="115"/>
      <c r="F41" s="158"/>
    </row>
    <row r="42" spans="1:11" s="19" customFormat="1" ht="17" customHeight="1">
      <c r="A42" s="113"/>
      <c r="B42" s="113"/>
      <c r="C42" s="118"/>
      <c r="D42" s="119"/>
      <c r="E42" s="115"/>
      <c r="F42" s="158"/>
    </row>
    <row r="43" spans="1:11" s="19" customFormat="1" ht="17" customHeight="1">
      <c r="A43" s="113"/>
      <c r="B43" s="113"/>
      <c r="C43" s="118"/>
      <c r="D43" s="119"/>
      <c r="E43" s="115"/>
      <c r="F43" s="158"/>
    </row>
    <row r="44" spans="1:11" s="19" customFormat="1" ht="17" customHeight="1">
      <c r="A44" s="121"/>
      <c r="B44" s="121"/>
      <c r="C44" s="122"/>
      <c r="D44" s="123"/>
      <c r="E44" s="155"/>
      <c r="F44" s="158"/>
    </row>
    <row r="45" spans="1:11" s="19" customFormat="1" ht="17" customHeight="1">
      <c r="A45" s="121"/>
      <c r="B45" s="121"/>
      <c r="C45" s="124"/>
      <c r="D45" s="123"/>
      <c r="E45" s="155"/>
      <c r="F45" s="158"/>
    </row>
    <row r="46" spans="1:11" s="19" customFormat="1" ht="17" customHeight="1">
      <c r="A46" s="121"/>
      <c r="B46" s="121"/>
      <c r="C46" s="125"/>
      <c r="D46" s="123"/>
      <c r="E46" s="155"/>
      <c r="F46" s="158"/>
    </row>
    <row r="47" spans="1:11" ht="17" customHeight="1">
      <c r="A47" s="126"/>
      <c r="B47" s="126"/>
      <c r="C47" s="127"/>
      <c r="D47" s="128"/>
      <c r="E47" s="156"/>
      <c r="F47" s="129"/>
    </row>
    <row r="48" spans="1:11" ht="27" customHeight="1">
      <c r="A48" s="130"/>
      <c r="B48" s="253" t="s">
        <v>108</v>
      </c>
      <c r="C48" s="253"/>
      <c r="E48" s="131" t="s">
        <v>0</v>
      </c>
      <c r="F48" s="132">
        <f>SUM(F20:F47)</f>
        <v>0</v>
      </c>
    </row>
    <row r="49" spans="1:6" ht="25.5" customHeight="1">
      <c r="A49" s="130"/>
      <c r="B49" s="254"/>
      <c r="C49" s="254"/>
      <c r="E49" s="131"/>
      <c r="F49" s="132"/>
    </row>
    <row r="50" spans="1:6" ht="17" customHeight="1">
      <c r="A50" s="130"/>
      <c r="C50" s="133"/>
      <c r="E50" s="131" t="s">
        <v>1</v>
      </c>
      <c r="F50" s="132">
        <f>F48-F49</f>
        <v>0</v>
      </c>
    </row>
    <row r="51" spans="1:6" ht="17" customHeight="1">
      <c r="A51" s="130"/>
      <c r="E51" s="131" t="s">
        <v>2</v>
      </c>
      <c r="F51" s="132">
        <f>F50*7%</f>
        <v>0</v>
      </c>
    </row>
    <row r="52" spans="1:6" ht="17" customHeight="1">
      <c r="A52" s="134"/>
      <c r="B52" s="16"/>
      <c r="C52" s="135"/>
      <c r="E52" s="136" t="s">
        <v>3</v>
      </c>
      <c r="F52" s="132">
        <f>SUM(F50:F51)</f>
        <v>0</v>
      </c>
    </row>
    <row r="53" spans="1:6" ht="17" customHeight="1">
      <c r="A53" s="255" t="str">
        <f>(BAHTTEXT(F52))</f>
        <v>ศูนย์บาทถ้วน</v>
      </c>
      <c r="B53" s="256"/>
      <c r="C53" s="256"/>
      <c r="D53" s="256"/>
      <c r="E53" s="256"/>
      <c r="F53" s="257"/>
    </row>
    <row r="54" spans="1:6" ht="17" customHeight="1">
      <c r="A54" s="258"/>
      <c r="B54" s="259"/>
      <c r="C54" s="259"/>
      <c r="D54" s="259"/>
      <c r="E54" s="259"/>
      <c r="F54" s="260"/>
    </row>
    <row r="55" spans="1:6" ht="20">
      <c r="A55" s="137" t="s">
        <v>4</v>
      </c>
      <c r="B55" s="138"/>
      <c r="C55" s="139"/>
      <c r="D55" s="140" t="s">
        <v>102</v>
      </c>
      <c r="E55" s="141"/>
      <c r="F55" s="142"/>
    </row>
    <row r="56" spans="1:6" ht="21" customHeight="1">
      <c r="A56" s="143" t="s">
        <v>5</v>
      </c>
      <c r="B56" s="144"/>
      <c r="C56" s="139"/>
      <c r="D56" s="145" t="s">
        <v>7</v>
      </c>
      <c r="E56" s="146"/>
      <c r="F56" s="21"/>
    </row>
    <row r="57" spans="1:6" ht="17" customHeight="1">
      <c r="A57" s="147"/>
      <c r="B57" s="139"/>
      <c r="C57" s="139"/>
      <c r="D57" s="130"/>
      <c r="F57" s="21"/>
    </row>
    <row r="58" spans="1:6" ht="17" customHeight="1">
      <c r="A58" s="243" t="s">
        <v>95</v>
      </c>
      <c r="B58" s="244"/>
      <c r="C58" s="245"/>
      <c r="D58" s="246" t="s">
        <v>130</v>
      </c>
      <c r="E58" s="247"/>
      <c r="F58" s="248"/>
    </row>
    <row r="59" spans="1:6" ht="17" customHeight="1">
      <c r="A59" s="148"/>
      <c r="B59" s="149"/>
      <c r="C59" s="150"/>
      <c r="D59" s="249" t="s">
        <v>132</v>
      </c>
      <c r="E59" s="250"/>
      <c r="F59" s="251"/>
    </row>
    <row r="60" spans="1:6" ht="17" customHeight="1">
      <c r="A60" s="148"/>
      <c r="B60" s="149"/>
      <c r="C60" s="150"/>
      <c r="D60" s="145" t="s">
        <v>76</v>
      </c>
      <c r="E60" s="151"/>
      <c r="F60" s="152"/>
    </row>
    <row r="61" spans="1:6" ht="18">
      <c r="A61" s="243" t="s">
        <v>6</v>
      </c>
      <c r="B61" s="244"/>
      <c r="C61" s="245"/>
      <c r="F61" s="21"/>
    </row>
    <row r="62" spans="1:6" ht="17" customHeight="1">
      <c r="A62" s="243" t="s">
        <v>96</v>
      </c>
      <c r="B62" s="244"/>
      <c r="C62" s="245"/>
      <c r="D62" s="246" t="s">
        <v>130</v>
      </c>
      <c r="E62" s="247"/>
      <c r="F62" s="248"/>
    </row>
    <row r="63" spans="1:6" ht="17" customHeight="1">
      <c r="A63" s="22"/>
      <c r="B63" s="23"/>
      <c r="C63" s="24"/>
      <c r="D63" s="249" t="s">
        <v>131</v>
      </c>
      <c r="E63" s="250"/>
      <c r="F63" s="251"/>
    </row>
    <row r="64" spans="1:6" ht="17" customHeight="1">
      <c r="A64" s="252" t="s">
        <v>129</v>
      </c>
      <c r="B64" s="252"/>
      <c r="C64" s="252"/>
      <c r="D64" s="252"/>
      <c r="E64" s="252"/>
      <c r="F64" s="252"/>
    </row>
  </sheetData>
  <mergeCells count="27">
    <mergeCell ref="A15:C15"/>
    <mergeCell ref="D15:F15"/>
    <mergeCell ref="E3:F3"/>
    <mergeCell ref="E4:F4"/>
    <mergeCell ref="E5:F5"/>
    <mergeCell ref="E6:F6"/>
    <mergeCell ref="A13:F13"/>
    <mergeCell ref="A16:C16"/>
    <mergeCell ref="D16:F16"/>
    <mergeCell ref="A17:C17"/>
    <mergeCell ref="D17:F17"/>
    <mergeCell ref="A18:A19"/>
    <mergeCell ref="B18:B19"/>
    <mergeCell ref="C18:C19"/>
    <mergeCell ref="D18:D19"/>
    <mergeCell ref="E18:E19"/>
    <mergeCell ref="F18:F19"/>
    <mergeCell ref="A62:C62"/>
    <mergeCell ref="D62:F62"/>
    <mergeCell ref="D63:F63"/>
    <mergeCell ref="A64:F64"/>
    <mergeCell ref="B48:C49"/>
    <mergeCell ref="A53:F54"/>
    <mergeCell ref="A58:C58"/>
    <mergeCell ref="D58:F58"/>
    <mergeCell ref="D59:F59"/>
    <mergeCell ref="A61:C61"/>
  </mergeCells>
  <printOptions horizontalCentered="1"/>
  <pageMargins left="0.25" right="0.25" top="0.75" bottom="0.75" header="0.3" footer="0.3"/>
  <pageSetup paperSize="9" scale="59" fitToHeight="0" orientation="portrait" r:id="rId1"/>
  <headerFooter>
    <oddHeader xml:space="preserve">&amp;R
</oddHeader>
    <oddFooter xml:space="preserve">&amp;R
&amp;16FM-SL001-02 (Rev.00)    
 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EFA0-C258-4499-BDA3-808B6DD91E47}">
  <sheetPr>
    <pageSetUpPr fitToPage="1"/>
  </sheetPr>
  <dimension ref="A1:O60"/>
  <sheetViews>
    <sheetView topLeftCell="A31" zoomScale="55" zoomScaleNormal="55" zoomScalePageLayoutView="82" workbookViewId="0">
      <selection activeCell="F49" sqref="F49:G49"/>
    </sheetView>
  </sheetViews>
  <sheetFormatPr baseColWidth="10" defaultColWidth="11" defaultRowHeight="16"/>
  <cols>
    <col min="1" max="1" width="9.796875" style="10" customWidth="1"/>
    <col min="2" max="2" width="18.796875" style="10" customWidth="1"/>
    <col min="3" max="3" width="54.796875" style="1" customWidth="1"/>
    <col min="4" max="4" width="10.19921875" style="1" customWidth="1"/>
    <col min="5" max="5" width="24.796875" style="76" customWidth="1"/>
    <col min="6" max="6" width="25.796875" style="11" customWidth="1"/>
    <col min="7" max="8" width="15.59765625" style="1" customWidth="1"/>
    <col min="9" max="9" width="25" style="11" customWidth="1"/>
    <col min="10" max="10" width="27.796875" style="11" customWidth="1"/>
    <col min="11" max="11" width="67.19921875" style="1" customWidth="1"/>
    <col min="12" max="12" width="11" style="1"/>
    <col min="13" max="13" width="19.59765625" style="1" customWidth="1"/>
    <col min="14" max="16384" width="11" style="1"/>
  </cols>
  <sheetData>
    <row r="1" spans="1:15" ht="24.75" customHeight="1">
      <c r="A1" s="296" t="s">
        <v>19</v>
      </c>
      <c r="B1" s="296"/>
      <c r="C1" s="296"/>
      <c r="D1" s="297" t="s">
        <v>20</v>
      </c>
      <c r="E1" s="297"/>
      <c r="F1" s="298"/>
      <c r="G1" s="298"/>
      <c r="H1" s="298"/>
      <c r="I1" s="159" t="s">
        <v>21</v>
      </c>
      <c r="J1" s="298"/>
      <c r="K1" s="298"/>
    </row>
    <row r="2" spans="1:15" ht="24.75" customHeight="1">
      <c r="A2" s="296"/>
      <c r="B2" s="296"/>
      <c r="C2" s="296"/>
      <c r="D2" s="297" t="s">
        <v>22</v>
      </c>
      <c r="E2" s="297"/>
      <c r="F2" s="298"/>
      <c r="G2" s="298"/>
      <c r="H2" s="298"/>
      <c r="I2" s="159" t="s">
        <v>77</v>
      </c>
      <c r="J2" s="299"/>
      <c r="K2" s="299"/>
    </row>
    <row r="3" spans="1:15" ht="20.25" customHeight="1">
      <c r="A3" s="291" t="s">
        <v>23</v>
      </c>
      <c r="B3" s="291" t="s">
        <v>24</v>
      </c>
      <c r="C3" s="291" t="s">
        <v>11</v>
      </c>
      <c r="D3" s="291" t="s">
        <v>25</v>
      </c>
      <c r="E3" s="290" t="s">
        <v>26</v>
      </c>
      <c r="F3" s="290"/>
      <c r="G3" s="295" t="s">
        <v>27</v>
      </c>
      <c r="H3" s="295"/>
      <c r="I3" s="290" t="s">
        <v>28</v>
      </c>
      <c r="J3" s="290"/>
      <c r="K3" s="291" t="s">
        <v>29</v>
      </c>
    </row>
    <row r="4" spans="1:15">
      <c r="A4" s="291"/>
      <c r="B4" s="291"/>
      <c r="C4" s="292"/>
      <c r="D4" s="292"/>
      <c r="E4" s="162" t="s">
        <v>30</v>
      </c>
      <c r="F4" s="162" t="s">
        <v>31</v>
      </c>
      <c r="G4" s="161" t="s">
        <v>24</v>
      </c>
      <c r="H4" s="161" t="s">
        <v>32</v>
      </c>
      <c r="I4" s="161" t="s">
        <v>30</v>
      </c>
      <c r="J4" s="162" t="s">
        <v>31</v>
      </c>
      <c r="K4" s="292"/>
    </row>
    <row r="5" spans="1:15" s="2" customFormat="1" ht="21.75" customHeight="1">
      <c r="A5" s="163" t="s">
        <v>33</v>
      </c>
      <c r="B5" s="163"/>
      <c r="C5" s="164"/>
      <c r="D5" s="164"/>
      <c r="E5" s="165"/>
      <c r="F5" s="166"/>
      <c r="G5" s="164"/>
      <c r="H5" s="164"/>
      <c r="I5" s="166"/>
      <c r="J5" s="166"/>
      <c r="K5" s="164"/>
    </row>
    <row r="6" spans="1:15" s="2" customFormat="1" ht="21.75" customHeight="1">
      <c r="A6" s="25"/>
      <c r="B6" s="26" t="s">
        <v>34</v>
      </c>
      <c r="C6" s="27" t="s">
        <v>35</v>
      </c>
      <c r="D6" s="28">
        <v>0</v>
      </c>
      <c r="E6" s="69">
        <v>0</v>
      </c>
      <c r="F6" s="171">
        <f>+E6*D6</f>
        <v>0</v>
      </c>
      <c r="G6" s="29">
        <v>0</v>
      </c>
      <c r="H6" s="30">
        <v>0</v>
      </c>
      <c r="I6" s="31">
        <v>0</v>
      </c>
      <c r="J6" s="172">
        <f>+I6*D6</f>
        <v>0</v>
      </c>
      <c r="K6" s="32"/>
    </row>
    <row r="7" spans="1:15" s="2" customFormat="1" ht="21.75" customHeight="1">
      <c r="A7" s="25"/>
      <c r="B7" s="26"/>
      <c r="C7" s="33"/>
      <c r="D7" s="28">
        <v>0</v>
      </c>
      <c r="E7" s="69">
        <v>0</v>
      </c>
      <c r="F7" s="171">
        <f>+E7*D7</f>
        <v>0</v>
      </c>
      <c r="G7" s="29">
        <v>0</v>
      </c>
      <c r="H7" s="30">
        <v>0</v>
      </c>
      <c r="I7" s="31">
        <v>0</v>
      </c>
      <c r="J7" s="172">
        <f>+I7*D7</f>
        <v>0</v>
      </c>
      <c r="K7" s="32"/>
    </row>
    <row r="8" spans="1:15" s="2" customFormat="1" ht="21.75" customHeight="1">
      <c r="A8" s="25"/>
      <c r="B8" s="26"/>
      <c r="C8" s="33"/>
      <c r="D8" s="28">
        <v>0</v>
      </c>
      <c r="E8" s="69">
        <v>0</v>
      </c>
      <c r="F8" s="171">
        <f>+E8*D8</f>
        <v>0</v>
      </c>
      <c r="G8" s="29">
        <v>0</v>
      </c>
      <c r="H8" s="30">
        <v>0</v>
      </c>
      <c r="I8" s="31">
        <v>0</v>
      </c>
      <c r="J8" s="172">
        <f>+I8*D8</f>
        <v>0</v>
      </c>
      <c r="K8" s="32"/>
      <c r="N8" s="293"/>
      <c r="O8" s="294"/>
    </row>
    <row r="9" spans="1:15" s="4" customFormat="1" ht="21.75" customHeight="1">
      <c r="A9" s="281" t="s">
        <v>36</v>
      </c>
      <c r="B9" s="281"/>
      <c r="C9" s="281"/>
      <c r="D9" s="35"/>
      <c r="E9" s="70"/>
      <c r="F9" s="170">
        <f>SUM(F6:F8)</f>
        <v>0</v>
      </c>
      <c r="G9" s="36" t="s">
        <v>37</v>
      </c>
      <c r="H9" s="37" t="e">
        <f>I9/J9</f>
        <v>#DIV/0!</v>
      </c>
      <c r="I9" s="38">
        <f>F9-J9</f>
        <v>0</v>
      </c>
      <c r="J9" s="170">
        <f>SUM(J6:J8)</f>
        <v>0</v>
      </c>
      <c r="K9" s="39"/>
      <c r="N9" s="5"/>
      <c r="O9" s="5"/>
    </row>
    <row r="10" spans="1:15" s="2" customFormat="1" ht="21.75" customHeight="1">
      <c r="A10" s="286" t="s">
        <v>38</v>
      </c>
      <c r="B10" s="286"/>
      <c r="C10" s="287"/>
      <c r="D10" s="287"/>
      <c r="E10" s="287"/>
      <c r="F10" s="287"/>
      <c r="G10" s="287"/>
      <c r="H10" s="287"/>
      <c r="I10" s="287"/>
      <c r="J10" s="287"/>
      <c r="K10" s="287"/>
    </row>
    <row r="11" spans="1:15" s="2" customFormat="1" ht="21.75" customHeight="1">
      <c r="A11" s="25"/>
      <c r="B11" s="26" t="s">
        <v>34</v>
      </c>
      <c r="C11" s="33" t="s">
        <v>35</v>
      </c>
      <c r="D11" s="28">
        <v>0</v>
      </c>
      <c r="E11" s="71">
        <v>0</v>
      </c>
      <c r="F11" s="171">
        <f>+E11*D11</f>
        <v>0</v>
      </c>
      <c r="G11" s="29">
        <v>0</v>
      </c>
      <c r="H11" s="30">
        <v>0</v>
      </c>
      <c r="I11" s="31">
        <v>0</v>
      </c>
      <c r="J11" s="172">
        <f>+I11*D11</f>
        <v>0</v>
      </c>
      <c r="K11" s="32" t="s">
        <v>39</v>
      </c>
      <c r="M11" s="6"/>
    </row>
    <row r="12" spans="1:15" s="2" customFormat="1" ht="21.75" customHeight="1">
      <c r="A12" s="25"/>
      <c r="B12" s="26"/>
      <c r="C12" s="33"/>
      <c r="D12" s="28">
        <v>0</v>
      </c>
      <c r="E12" s="71">
        <v>0</v>
      </c>
      <c r="F12" s="171">
        <f>+E12*D12</f>
        <v>0</v>
      </c>
      <c r="G12" s="29">
        <v>0</v>
      </c>
      <c r="H12" s="30">
        <v>0</v>
      </c>
      <c r="I12" s="31">
        <v>0</v>
      </c>
      <c r="J12" s="172">
        <f>+I12*D12</f>
        <v>0</v>
      </c>
      <c r="K12" s="32"/>
      <c r="M12" s="6"/>
    </row>
    <row r="13" spans="1:15" s="2" customFormat="1" ht="21.75" customHeight="1">
      <c r="A13" s="25"/>
      <c r="B13" s="26"/>
      <c r="C13" s="33"/>
      <c r="D13" s="28">
        <v>0</v>
      </c>
      <c r="E13" s="72">
        <v>0</v>
      </c>
      <c r="F13" s="169">
        <f>+E13*D13</f>
        <v>0</v>
      </c>
      <c r="G13" s="40">
        <v>0</v>
      </c>
      <c r="H13" s="30">
        <v>0</v>
      </c>
      <c r="I13" s="31">
        <v>0</v>
      </c>
      <c r="J13" s="172">
        <f>+I13*D13</f>
        <v>0</v>
      </c>
      <c r="K13" s="32"/>
      <c r="M13" s="6"/>
    </row>
    <row r="14" spans="1:15" s="2" customFormat="1" ht="21.75" customHeight="1">
      <c r="A14" s="281" t="s">
        <v>40</v>
      </c>
      <c r="B14" s="281"/>
      <c r="C14" s="281"/>
      <c r="D14" s="41"/>
      <c r="E14" s="73"/>
      <c r="F14" s="170">
        <f>SUM(F11:F13)</f>
        <v>0</v>
      </c>
      <c r="G14" s="36" t="s">
        <v>37</v>
      </c>
      <c r="H14" s="37" t="e">
        <f>I14/J14</f>
        <v>#DIV/0!</v>
      </c>
      <c r="I14" s="38">
        <f>J14-F14</f>
        <v>0</v>
      </c>
      <c r="J14" s="170">
        <f>SUM(J11:J13)</f>
        <v>0</v>
      </c>
      <c r="K14" s="39"/>
    </row>
    <row r="15" spans="1:15" s="2" customFormat="1" ht="21.75" customHeight="1">
      <c r="A15" s="286" t="s">
        <v>41</v>
      </c>
      <c r="B15" s="286"/>
      <c r="C15" s="287"/>
      <c r="D15" s="287"/>
      <c r="E15" s="287"/>
      <c r="F15" s="287"/>
      <c r="G15" s="287"/>
      <c r="H15" s="287"/>
      <c r="I15" s="287"/>
      <c r="J15" s="287"/>
      <c r="K15" s="287"/>
    </row>
    <row r="16" spans="1:15" s="2" customFormat="1" ht="21.75" customHeight="1">
      <c r="A16" s="25"/>
      <c r="B16" s="26" t="s">
        <v>34</v>
      </c>
      <c r="C16" s="33" t="s">
        <v>42</v>
      </c>
      <c r="D16" s="28">
        <v>0</v>
      </c>
      <c r="E16" s="69">
        <v>0</v>
      </c>
      <c r="F16" s="171">
        <f>+E16*D16</f>
        <v>0</v>
      </c>
      <c r="G16" s="29">
        <v>0</v>
      </c>
      <c r="H16" s="30">
        <v>0</v>
      </c>
      <c r="I16" s="31">
        <v>0</v>
      </c>
      <c r="J16" s="172">
        <f>+I16*D16</f>
        <v>0</v>
      </c>
      <c r="K16" s="32"/>
    </row>
    <row r="17" spans="1:13" s="2" customFormat="1" ht="21.75" customHeight="1">
      <c r="A17" s="25"/>
      <c r="B17" s="26"/>
      <c r="C17" s="33"/>
      <c r="D17" s="28">
        <v>0</v>
      </c>
      <c r="E17" s="69"/>
      <c r="F17" s="171">
        <f>+E17*D17</f>
        <v>0</v>
      </c>
      <c r="G17" s="29"/>
      <c r="H17" s="30"/>
      <c r="I17" s="31">
        <v>0</v>
      </c>
      <c r="J17" s="172">
        <f>+I17*D17</f>
        <v>0</v>
      </c>
      <c r="K17" s="32"/>
      <c r="M17" s="6"/>
    </row>
    <row r="18" spans="1:13" s="4" customFormat="1" ht="21.75" customHeight="1">
      <c r="A18" s="25"/>
      <c r="B18" s="26"/>
      <c r="C18" s="33"/>
      <c r="D18" s="28">
        <v>0</v>
      </c>
      <c r="E18" s="69">
        <v>0</v>
      </c>
      <c r="F18" s="171">
        <f>+E18*D18</f>
        <v>0</v>
      </c>
      <c r="G18" s="29">
        <v>0</v>
      </c>
      <c r="H18" s="30">
        <v>0</v>
      </c>
      <c r="I18" s="31">
        <v>0</v>
      </c>
      <c r="J18" s="172">
        <f>+I18*D18</f>
        <v>0</v>
      </c>
      <c r="K18" s="32"/>
      <c r="M18" s="3"/>
    </row>
    <row r="19" spans="1:13" s="2" customFormat="1" ht="21.75" customHeight="1">
      <c r="A19" s="281" t="s">
        <v>43</v>
      </c>
      <c r="B19" s="281"/>
      <c r="C19" s="281"/>
      <c r="D19" s="41"/>
      <c r="E19" s="73"/>
      <c r="F19" s="170">
        <f>SUM(F16:F18)</f>
        <v>0</v>
      </c>
      <c r="G19" s="36" t="s">
        <v>37</v>
      </c>
      <c r="H19" s="37" t="e">
        <f>I19/J19</f>
        <v>#DIV/0!</v>
      </c>
      <c r="I19" s="38">
        <f>J19-F19</f>
        <v>0</v>
      </c>
      <c r="J19" s="170">
        <f>SUM(J16:J18)</f>
        <v>0</v>
      </c>
      <c r="K19" s="39"/>
      <c r="M19" s="6"/>
    </row>
    <row r="20" spans="1:13" s="2" customFormat="1" ht="21.75" customHeight="1">
      <c r="A20" s="286" t="s">
        <v>44</v>
      </c>
      <c r="B20" s="286"/>
      <c r="C20" s="287"/>
      <c r="D20" s="287"/>
      <c r="E20" s="287"/>
      <c r="F20" s="287"/>
      <c r="G20" s="287"/>
      <c r="H20" s="287"/>
      <c r="I20" s="287"/>
      <c r="J20" s="287"/>
      <c r="K20" s="287"/>
      <c r="M20" s="6"/>
    </row>
    <row r="21" spans="1:13" s="2" customFormat="1" ht="21.75" customHeight="1">
      <c r="A21" s="25"/>
      <c r="B21" s="26" t="s">
        <v>34</v>
      </c>
      <c r="C21" s="33" t="s">
        <v>42</v>
      </c>
      <c r="D21" s="28">
        <v>0</v>
      </c>
      <c r="E21" s="69">
        <v>0</v>
      </c>
      <c r="F21" s="171">
        <f>+E21*D21</f>
        <v>0</v>
      </c>
      <c r="G21" s="29">
        <v>0</v>
      </c>
      <c r="H21" s="30">
        <v>0</v>
      </c>
      <c r="I21" s="31">
        <v>0</v>
      </c>
      <c r="J21" s="172">
        <f>+I21*D21</f>
        <v>0</v>
      </c>
      <c r="K21" s="32"/>
      <c r="M21" s="6"/>
    </row>
    <row r="22" spans="1:13" s="2" customFormat="1" ht="21.75" customHeight="1">
      <c r="A22" s="25"/>
      <c r="B22" s="26"/>
      <c r="C22" s="33"/>
      <c r="D22" s="28">
        <v>0</v>
      </c>
      <c r="E22" s="69">
        <v>0</v>
      </c>
      <c r="F22" s="171">
        <f>+E22*D22</f>
        <v>0</v>
      </c>
      <c r="G22" s="29">
        <v>0</v>
      </c>
      <c r="H22" s="30">
        <v>0</v>
      </c>
      <c r="I22" s="31">
        <v>0</v>
      </c>
      <c r="J22" s="172">
        <f>+I22*D22</f>
        <v>0</v>
      </c>
      <c r="K22" s="32"/>
      <c r="M22" s="7"/>
    </row>
    <row r="23" spans="1:13" s="4" customFormat="1" ht="21.75" customHeight="1">
      <c r="A23" s="25"/>
      <c r="B23" s="26"/>
      <c r="C23" s="33"/>
      <c r="D23" s="28">
        <v>0</v>
      </c>
      <c r="E23" s="69">
        <v>0</v>
      </c>
      <c r="F23" s="171">
        <f>+E23*D23</f>
        <v>0</v>
      </c>
      <c r="G23" s="29">
        <v>0</v>
      </c>
      <c r="H23" s="30">
        <v>0</v>
      </c>
      <c r="I23" s="31">
        <v>0</v>
      </c>
      <c r="J23" s="172">
        <f>+I23*D23</f>
        <v>0</v>
      </c>
      <c r="K23" s="32"/>
    </row>
    <row r="24" spans="1:13" s="2" customFormat="1" ht="21.75" customHeight="1">
      <c r="A24" s="281" t="s">
        <v>45</v>
      </c>
      <c r="B24" s="281"/>
      <c r="C24" s="281"/>
      <c r="D24" s="41"/>
      <c r="E24" s="73"/>
      <c r="F24" s="170">
        <f>SUM(F21:F23)</f>
        <v>0</v>
      </c>
      <c r="G24" s="36" t="s">
        <v>37</v>
      </c>
      <c r="H24" s="37" t="e">
        <f>I24/J24</f>
        <v>#DIV/0!</v>
      </c>
      <c r="I24" s="38">
        <f>J24-F24</f>
        <v>0</v>
      </c>
      <c r="J24" s="170">
        <f>SUM(J21:J23)</f>
        <v>0</v>
      </c>
      <c r="K24" s="39"/>
    </row>
    <row r="25" spans="1:13" s="2" customFormat="1" ht="21.75" customHeight="1">
      <c r="A25" s="286" t="s">
        <v>46</v>
      </c>
      <c r="B25" s="286"/>
      <c r="C25" s="287"/>
      <c r="D25" s="287"/>
      <c r="E25" s="287"/>
      <c r="F25" s="287"/>
      <c r="G25" s="287"/>
      <c r="H25" s="287"/>
      <c r="I25" s="287"/>
      <c r="J25" s="287"/>
      <c r="K25" s="287"/>
    </row>
    <row r="26" spans="1:13" s="2" customFormat="1" ht="21.75" customHeight="1">
      <c r="A26" s="42" t="s">
        <v>47</v>
      </c>
      <c r="B26" s="42" t="s">
        <v>49</v>
      </c>
      <c r="C26" s="47" t="s">
        <v>126</v>
      </c>
      <c r="D26" s="44">
        <v>0</v>
      </c>
      <c r="E26" s="74"/>
      <c r="F26" s="171">
        <f>+E26*D26</f>
        <v>0</v>
      </c>
      <c r="G26" s="29">
        <v>0</v>
      </c>
      <c r="H26" s="30">
        <v>0</v>
      </c>
      <c r="I26" s="45">
        <v>0</v>
      </c>
      <c r="J26" s="172">
        <f>+I26*D26</f>
        <v>0</v>
      </c>
      <c r="K26" s="48"/>
    </row>
    <row r="27" spans="1:13" s="2" customFormat="1" ht="21.75" customHeight="1">
      <c r="A27" s="281" t="s">
        <v>52</v>
      </c>
      <c r="B27" s="281"/>
      <c r="C27" s="281"/>
      <c r="D27" s="41"/>
      <c r="E27" s="73"/>
      <c r="F27" s="170">
        <f>SUM(F26:F26)</f>
        <v>0</v>
      </c>
      <c r="G27" s="36" t="s">
        <v>37</v>
      </c>
      <c r="H27" s="37" t="e">
        <f>I27/J27</f>
        <v>#DIV/0!</v>
      </c>
      <c r="I27" s="38">
        <f>J27-F27</f>
        <v>0</v>
      </c>
      <c r="J27" s="170">
        <f>SUM(J26:J26)</f>
        <v>0</v>
      </c>
      <c r="K27" s="39"/>
    </row>
    <row r="28" spans="1:13" s="2" customFormat="1" ht="21.75" customHeight="1">
      <c r="A28" s="286" t="s">
        <v>53</v>
      </c>
      <c r="B28" s="286"/>
      <c r="C28" s="287"/>
      <c r="D28" s="287"/>
      <c r="E28" s="287"/>
      <c r="F28" s="287"/>
      <c r="G28" s="287"/>
      <c r="H28" s="287"/>
      <c r="I28" s="287"/>
      <c r="J28" s="287"/>
      <c r="K28" s="287"/>
    </row>
    <row r="29" spans="1:13" s="2" customFormat="1" ht="21.75" customHeight="1">
      <c r="A29" s="42" t="s">
        <v>47</v>
      </c>
      <c r="B29" s="42" t="s">
        <v>98</v>
      </c>
      <c r="C29" s="47" t="s">
        <v>97</v>
      </c>
      <c r="D29" s="44">
        <v>1</v>
      </c>
      <c r="E29" s="74">
        <f>J46*2%</f>
        <v>0</v>
      </c>
      <c r="F29" s="171">
        <f>+E29*D29</f>
        <v>0</v>
      </c>
      <c r="G29" s="29">
        <v>0</v>
      </c>
      <c r="H29" s="30">
        <v>0</v>
      </c>
      <c r="I29" s="45">
        <v>0</v>
      </c>
      <c r="J29" s="172">
        <f>+I29*D29</f>
        <v>0</v>
      </c>
      <c r="K29" s="48"/>
    </row>
    <row r="30" spans="1:13" s="2" customFormat="1" ht="21.75" customHeight="1">
      <c r="A30" s="42" t="s">
        <v>47</v>
      </c>
      <c r="B30" s="42" t="s">
        <v>111</v>
      </c>
      <c r="C30" s="43" t="s">
        <v>48</v>
      </c>
      <c r="D30" s="44">
        <v>1</v>
      </c>
      <c r="E30" s="74">
        <f>J46*1%</f>
        <v>0</v>
      </c>
      <c r="F30" s="171">
        <f>+E30*D30</f>
        <v>0</v>
      </c>
      <c r="G30" s="29">
        <v>0</v>
      </c>
      <c r="H30" s="30">
        <v>0</v>
      </c>
      <c r="I30" s="45">
        <v>0</v>
      </c>
      <c r="J30" s="172">
        <f>+I30*D30</f>
        <v>0</v>
      </c>
      <c r="K30" s="46"/>
    </row>
    <row r="31" spans="1:13" s="2" customFormat="1" ht="21.75" customHeight="1">
      <c r="A31" s="42" t="s">
        <v>47</v>
      </c>
      <c r="B31" s="42" t="s">
        <v>111</v>
      </c>
      <c r="C31" s="47" t="s">
        <v>50</v>
      </c>
      <c r="D31" s="44">
        <v>0</v>
      </c>
      <c r="E31" s="74"/>
      <c r="F31" s="171">
        <f>+E31*D31</f>
        <v>0</v>
      </c>
      <c r="G31" s="29">
        <v>0</v>
      </c>
      <c r="H31" s="30">
        <v>0</v>
      </c>
      <c r="I31" s="45">
        <v>0</v>
      </c>
      <c r="J31" s="172">
        <f>+I31*D31</f>
        <v>0</v>
      </c>
      <c r="K31" s="48"/>
    </row>
    <row r="32" spans="1:13" s="4" customFormat="1" ht="21.75" customHeight="1">
      <c r="A32" s="42" t="s">
        <v>47</v>
      </c>
      <c r="B32" s="42" t="s">
        <v>111</v>
      </c>
      <c r="C32" s="43" t="s">
        <v>51</v>
      </c>
      <c r="D32" s="44">
        <v>0</v>
      </c>
      <c r="E32" s="74"/>
      <c r="F32" s="171">
        <f t="shared" ref="F32:F34" si="0">+E32*D32</f>
        <v>0</v>
      </c>
      <c r="G32" s="29">
        <v>0</v>
      </c>
      <c r="H32" s="30">
        <v>0</v>
      </c>
      <c r="I32" s="45">
        <v>0</v>
      </c>
      <c r="J32" s="172">
        <f>+I32*D32</f>
        <v>0</v>
      </c>
      <c r="K32" s="48"/>
    </row>
    <row r="33" spans="1:11" s="4" customFormat="1" ht="21.75" customHeight="1">
      <c r="A33" s="42" t="s">
        <v>47</v>
      </c>
      <c r="B33" s="42" t="s">
        <v>111</v>
      </c>
      <c r="C33" s="43" t="s">
        <v>127</v>
      </c>
      <c r="D33" s="44">
        <v>0</v>
      </c>
      <c r="E33" s="74"/>
      <c r="F33" s="171">
        <f t="shared" si="0"/>
        <v>0</v>
      </c>
      <c r="G33" s="29"/>
      <c r="H33" s="30"/>
      <c r="I33" s="45"/>
      <c r="J33" s="172"/>
      <c r="K33" s="48"/>
    </row>
    <row r="34" spans="1:11" s="4" customFormat="1" ht="21.75" customHeight="1">
      <c r="A34" s="25"/>
      <c r="B34" s="25"/>
      <c r="C34" s="51" t="s">
        <v>100</v>
      </c>
      <c r="D34" s="28">
        <v>1</v>
      </c>
      <c r="E34" s="74"/>
      <c r="F34" s="171">
        <f t="shared" si="0"/>
        <v>0</v>
      </c>
      <c r="G34" s="29">
        <v>0</v>
      </c>
      <c r="H34" s="30">
        <v>0</v>
      </c>
      <c r="I34" s="31">
        <v>0</v>
      </c>
      <c r="J34" s="172">
        <f>+I34*D34</f>
        <v>0</v>
      </c>
      <c r="K34" s="32"/>
    </row>
    <row r="35" spans="1:11" s="2" customFormat="1" ht="21.75" customHeight="1">
      <c r="A35" s="281" t="s">
        <v>54</v>
      </c>
      <c r="B35" s="281"/>
      <c r="C35" s="281"/>
      <c r="D35" s="41"/>
      <c r="E35" s="73"/>
      <c r="F35" s="170">
        <f>SUM(F29:F34)</f>
        <v>0</v>
      </c>
      <c r="G35" s="36" t="s">
        <v>37</v>
      </c>
      <c r="H35" s="37" t="e">
        <f>I35/J35</f>
        <v>#DIV/0!</v>
      </c>
      <c r="I35" s="38">
        <f>J35-F35</f>
        <v>0</v>
      </c>
      <c r="J35" s="170">
        <f>SUM(J29:J34)</f>
        <v>0</v>
      </c>
      <c r="K35" s="39"/>
    </row>
    <row r="36" spans="1:11" s="2" customFormat="1" ht="21.75" customHeight="1">
      <c r="A36" s="286" t="s">
        <v>55</v>
      </c>
      <c r="B36" s="286"/>
      <c r="C36" s="287"/>
      <c r="D36" s="287"/>
      <c r="E36" s="287"/>
      <c r="F36" s="287"/>
      <c r="G36" s="287"/>
      <c r="H36" s="287"/>
      <c r="I36" s="287"/>
      <c r="J36" s="287"/>
      <c r="K36" s="287"/>
    </row>
    <row r="37" spans="1:11" s="2" customFormat="1" ht="21.75" customHeight="1">
      <c r="A37" s="25"/>
      <c r="B37" s="53" t="s">
        <v>56</v>
      </c>
      <c r="C37" s="54" t="s">
        <v>57</v>
      </c>
      <c r="D37" s="55">
        <v>0.01</v>
      </c>
      <c r="E37" s="69">
        <f>J46*1%</f>
        <v>0</v>
      </c>
      <c r="F37" s="169">
        <f>J46*D37</f>
        <v>0</v>
      </c>
      <c r="G37" s="29"/>
      <c r="H37" s="30"/>
      <c r="I37" s="31"/>
      <c r="J37" s="173" t="s">
        <v>58</v>
      </c>
      <c r="K37" s="32" t="s">
        <v>59</v>
      </c>
    </row>
    <row r="38" spans="1:11" s="2" customFormat="1" ht="21.75" customHeight="1">
      <c r="A38" s="25"/>
      <c r="B38" s="25"/>
      <c r="C38" s="51" t="s">
        <v>78</v>
      </c>
      <c r="D38" s="28"/>
      <c r="E38" s="69">
        <v>0</v>
      </c>
      <c r="F38" s="169">
        <f>E38*D38</f>
        <v>0</v>
      </c>
      <c r="G38" s="29"/>
      <c r="H38" s="30"/>
      <c r="I38" s="31"/>
      <c r="J38" s="173" t="s">
        <v>58</v>
      </c>
      <c r="K38" s="52"/>
    </row>
    <row r="39" spans="1:11" s="2" customFormat="1" ht="34">
      <c r="A39" s="25"/>
      <c r="B39" s="25"/>
      <c r="C39" s="51" t="s">
        <v>99</v>
      </c>
      <c r="D39" s="28"/>
      <c r="E39" s="69"/>
      <c r="F39" s="169">
        <f>E39*D39</f>
        <v>0</v>
      </c>
      <c r="G39" s="29"/>
      <c r="H39" s="30"/>
      <c r="I39" s="31"/>
      <c r="J39" s="173" t="s">
        <v>58</v>
      </c>
      <c r="K39" s="195" t="s">
        <v>101</v>
      </c>
    </row>
    <row r="40" spans="1:11" s="2" customFormat="1" ht="21.75" customHeight="1">
      <c r="A40" s="25"/>
      <c r="B40" s="25"/>
      <c r="C40" s="51" t="s">
        <v>112</v>
      </c>
      <c r="D40" s="28"/>
      <c r="E40" s="69">
        <v>0</v>
      </c>
      <c r="F40" s="169">
        <f>J49*D40</f>
        <v>0</v>
      </c>
      <c r="G40" s="29">
        <v>0</v>
      </c>
      <c r="H40" s="30">
        <v>0</v>
      </c>
      <c r="I40" s="31"/>
      <c r="J40" s="173" t="s">
        <v>58</v>
      </c>
      <c r="K40" s="32"/>
    </row>
    <row r="41" spans="1:11" s="4" customFormat="1" ht="21.75" customHeight="1">
      <c r="A41" s="281" t="s">
        <v>60</v>
      </c>
      <c r="B41" s="281"/>
      <c r="C41" s="281"/>
      <c r="D41" s="41"/>
      <c r="E41" s="73"/>
      <c r="F41" s="170">
        <f>SUM(F37:F40)</f>
        <v>0</v>
      </c>
      <c r="G41" s="282"/>
      <c r="H41" s="282"/>
      <c r="I41" s="56"/>
      <c r="J41" s="173" t="s">
        <v>58</v>
      </c>
      <c r="K41" s="39"/>
    </row>
    <row r="42" spans="1:11" s="2" customFormat="1" ht="21.75" customHeight="1">
      <c r="A42" s="163" t="s">
        <v>61</v>
      </c>
      <c r="B42" s="163"/>
      <c r="C42" s="164"/>
      <c r="D42" s="167" t="s">
        <v>62</v>
      </c>
      <c r="E42" s="168"/>
      <c r="F42" s="166"/>
      <c r="G42" s="167"/>
      <c r="H42" s="167"/>
      <c r="I42" s="168"/>
      <c r="J42" s="166"/>
      <c r="K42" s="164"/>
    </row>
    <row r="43" spans="1:11" s="2" customFormat="1" ht="21.75" customHeight="1">
      <c r="A43" s="25"/>
      <c r="B43" s="25"/>
      <c r="C43" s="50" t="s">
        <v>63</v>
      </c>
      <c r="D43" s="55">
        <v>0.08</v>
      </c>
      <c r="E43" s="69">
        <v>1</v>
      </c>
      <c r="F43" s="169">
        <f>J46*(D43/12)*E43</f>
        <v>0</v>
      </c>
      <c r="G43" s="57"/>
      <c r="H43" s="58"/>
      <c r="I43" s="59"/>
      <c r="J43" s="174" t="s">
        <v>58</v>
      </c>
      <c r="K43" s="32" t="s">
        <v>64</v>
      </c>
    </row>
    <row r="44" spans="1:11" s="2" customFormat="1" ht="21.75" customHeight="1">
      <c r="A44" s="25"/>
      <c r="B44" s="25"/>
      <c r="C44" s="50" t="s">
        <v>65</v>
      </c>
      <c r="D44" s="55">
        <v>0</v>
      </c>
      <c r="E44" s="69">
        <v>0</v>
      </c>
      <c r="F44" s="169">
        <f>J46*D44</f>
        <v>0</v>
      </c>
      <c r="G44" s="57"/>
      <c r="H44" s="58"/>
      <c r="I44" s="59"/>
      <c r="J44" s="174" t="s">
        <v>58</v>
      </c>
      <c r="K44" s="32" t="s">
        <v>66</v>
      </c>
    </row>
    <row r="45" spans="1:11" s="2" customFormat="1" ht="21.75" customHeight="1">
      <c r="A45" s="49"/>
      <c r="B45" s="49"/>
      <c r="C45" s="50"/>
      <c r="D45" s="60"/>
      <c r="E45" s="72"/>
      <c r="F45" s="169"/>
      <c r="G45" s="40"/>
      <c r="H45" s="60"/>
      <c r="I45" s="61" t="s">
        <v>67</v>
      </c>
      <c r="J45" s="175" t="s">
        <v>68</v>
      </c>
      <c r="K45" s="62"/>
    </row>
    <row r="46" spans="1:11" s="2" customFormat="1" ht="33.75" customHeight="1">
      <c r="A46" s="285" t="s">
        <v>69</v>
      </c>
      <c r="B46" s="285"/>
      <c r="C46" s="285"/>
      <c r="D46" s="287"/>
      <c r="E46" s="287"/>
      <c r="F46" s="176">
        <f>F9+F14+F19+F24+F27+F35+F41+F43+F44</f>
        <v>0</v>
      </c>
      <c r="G46" s="63" t="s">
        <v>70</v>
      </c>
      <c r="H46" s="64" t="e">
        <f>I46/J46</f>
        <v>#DIV/0!</v>
      </c>
      <c r="I46" s="65">
        <f>J46-F46</f>
        <v>0</v>
      </c>
      <c r="J46" s="176">
        <f>J9+J14+J19+J24+J27+J35</f>
        <v>0</v>
      </c>
      <c r="K46" s="288" t="s">
        <v>71</v>
      </c>
    </row>
    <row r="47" spans="1:11" s="4" customFormat="1" ht="33.75" customHeight="1">
      <c r="A47" s="285" t="s">
        <v>86</v>
      </c>
      <c r="B47" s="285"/>
      <c r="C47" s="289" t="s">
        <v>73</v>
      </c>
      <c r="D47" s="289"/>
      <c r="E47" s="289"/>
      <c r="F47" s="289"/>
      <c r="G47" s="289"/>
      <c r="H47" s="289"/>
      <c r="I47" s="179" t="s">
        <v>72</v>
      </c>
      <c r="J47" s="177">
        <f>J46*0.07</f>
        <v>0</v>
      </c>
      <c r="K47" s="288"/>
    </row>
    <row r="48" spans="1:11" s="2" customFormat="1" ht="33.75" customHeight="1">
      <c r="A48" s="285"/>
      <c r="B48" s="285"/>
      <c r="C48" s="289"/>
      <c r="D48" s="289"/>
      <c r="E48" s="289"/>
      <c r="F48" s="289"/>
      <c r="G48" s="289"/>
      <c r="H48" s="289"/>
      <c r="I48" s="180" t="s">
        <v>74</v>
      </c>
      <c r="J48" s="178">
        <f>SUM(J46:J47)</f>
        <v>0</v>
      </c>
      <c r="K48" s="288"/>
    </row>
    <row r="49" spans="1:11" s="2" customFormat="1" ht="33.75" customHeight="1">
      <c r="A49" s="284" t="s">
        <v>75</v>
      </c>
      <c r="B49" s="284"/>
      <c r="C49" s="34" t="s">
        <v>93</v>
      </c>
      <c r="D49" s="284" t="s">
        <v>79</v>
      </c>
      <c r="E49" s="284"/>
      <c r="F49" s="279" t="s">
        <v>128</v>
      </c>
      <c r="G49" s="279"/>
      <c r="H49" s="280" t="s">
        <v>80</v>
      </c>
      <c r="I49" s="283"/>
      <c r="J49" s="283"/>
      <c r="K49" s="160"/>
    </row>
    <row r="50" spans="1:11" s="2" customFormat="1" ht="33.75" customHeight="1">
      <c r="A50" s="284" t="s">
        <v>81</v>
      </c>
      <c r="B50" s="284"/>
      <c r="C50" s="34" t="s">
        <v>92</v>
      </c>
      <c r="D50" s="284" t="s">
        <v>81</v>
      </c>
      <c r="E50" s="284"/>
      <c r="F50" s="279" t="s">
        <v>92</v>
      </c>
      <c r="G50" s="279"/>
      <c r="H50" s="280"/>
      <c r="I50" s="283"/>
      <c r="J50" s="283"/>
      <c r="K50" s="160"/>
    </row>
    <row r="51" spans="1:11" s="2" customFormat="1" ht="23">
      <c r="A51" s="49"/>
      <c r="B51" s="49"/>
      <c r="C51" s="66"/>
      <c r="D51" s="66"/>
      <c r="E51" s="75"/>
      <c r="F51" s="77"/>
      <c r="G51" s="66"/>
      <c r="H51" s="66"/>
      <c r="I51" s="67"/>
      <c r="J51" s="67"/>
      <c r="K51" s="68" t="s">
        <v>91</v>
      </c>
    </row>
    <row r="52" spans="1:11" s="2" customFormat="1">
      <c r="A52" s="8"/>
      <c r="B52" s="8"/>
      <c r="E52" s="7"/>
      <c r="F52" s="9"/>
      <c r="I52" s="9"/>
      <c r="J52" s="9"/>
    </row>
    <row r="53" spans="1:11" s="2" customFormat="1">
      <c r="A53" s="8"/>
      <c r="B53" s="8"/>
      <c r="D53" s="1"/>
      <c r="E53" s="76"/>
      <c r="F53" s="11"/>
      <c r="G53" s="1"/>
      <c r="H53" s="1"/>
      <c r="I53" s="11"/>
      <c r="J53" s="9"/>
    </row>
    <row r="54" spans="1:11" s="2" customFormat="1">
      <c r="A54" s="8"/>
      <c r="B54" s="8"/>
      <c r="D54" s="1"/>
      <c r="E54" s="76"/>
      <c r="F54" s="11"/>
      <c r="G54" s="1"/>
      <c r="H54" s="1"/>
      <c r="I54" s="11"/>
      <c r="J54" s="9"/>
    </row>
    <row r="55" spans="1:11" s="2" customFormat="1">
      <c r="A55" s="8"/>
      <c r="B55" s="8"/>
      <c r="D55" s="1"/>
      <c r="E55" s="76"/>
      <c r="F55" s="11"/>
      <c r="G55" s="1"/>
      <c r="H55" s="1"/>
      <c r="I55" s="11"/>
      <c r="J55" s="9"/>
    </row>
    <row r="56" spans="1:11" s="2" customFormat="1">
      <c r="A56" s="8"/>
      <c r="B56" s="8"/>
      <c r="D56" s="1"/>
      <c r="E56" s="76"/>
      <c r="F56" s="11"/>
      <c r="G56" s="1"/>
      <c r="H56" s="1"/>
      <c r="I56" s="11"/>
      <c r="J56" s="9"/>
    </row>
    <row r="57" spans="1:11" s="2" customFormat="1">
      <c r="A57" s="8"/>
      <c r="B57" s="8"/>
      <c r="D57" s="1"/>
      <c r="E57" s="76"/>
      <c r="F57" s="11"/>
      <c r="G57" s="1"/>
      <c r="H57" s="1"/>
      <c r="I57" s="11"/>
      <c r="J57" s="9"/>
    </row>
    <row r="58" spans="1:11" s="2" customFormat="1">
      <c r="A58" s="8"/>
      <c r="B58" s="8"/>
      <c r="D58" s="1"/>
      <c r="E58" s="76"/>
      <c r="F58" s="11"/>
      <c r="G58" s="1"/>
      <c r="H58" s="1"/>
      <c r="I58" s="11"/>
      <c r="J58" s="9"/>
    </row>
    <row r="59" spans="1:11" s="2" customFormat="1">
      <c r="A59" s="8"/>
      <c r="B59" s="8"/>
      <c r="D59" s="1"/>
      <c r="E59" s="76"/>
      <c r="F59" s="11"/>
      <c r="G59" s="1"/>
      <c r="H59" s="1"/>
      <c r="I59" s="11"/>
      <c r="J59" s="9"/>
    </row>
    <row r="60" spans="1:11" s="2" customFormat="1">
      <c r="A60" s="8"/>
      <c r="B60" s="8"/>
      <c r="D60" s="1"/>
      <c r="E60" s="76"/>
      <c r="F60" s="11"/>
      <c r="G60" s="1"/>
      <c r="H60" s="1"/>
      <c r="I60" s="11"/>
      <c r="J60" s="9"/>
    </row>
  </sheetData>
  <mergeCells count="45">
    <mergeCell ref="A1:C2"/>
    <mergeCell ref="D1:E1"/>
    <mergeCell ref="F1:H1"/>
    <mergeCell ref="J1:K1"/>
    <mergeCell ref="D2:E2"/>
    <mergeCell ref="F2:H2"/>
    <mergeCell ref="J2:K2"/>
    <mergeCell ref="A20:K20"/>
    <mergeCell ref="A27:C27"/>
    <mergeCell ref="I3:J3"/>
    <mergeCell ref="K3:K4"/>
    <mergeCell ref="N8:O8"/>
    <mergeCell ref="A9:C9"/>
    <mergeCell ref="A10:K10"/>
    <mergeCell ref="A14:C14"/>
    <mergeCell ref="A3:A4"/>
    <mergeCell ref="B3:B4"/>
    <mergeCell ref="C3:C4"/>
    <mergeCell ref="D3:D4"/>
    <mergeCell ref="E3:F3"/>
    <mergeCell ref="G3:H3"/>
    <mergeCell ref="A15:K15"/>
    <mergeCell ref="A19:C19"/>
    <mergeCell ref="A24:C24"/>
    <mergeCell ref="A25:K25"/>
    <mergeCell ref="A46:C46"/>
    <mergeCell ref="D46:E46"/>
    <mergeCell ref="K46:K48"/>
    <mergeCell ref="A47:B47"/>
    <mergeCell ref="C47:H48"/>
    <mergeCell ref="A28:K28"/>
    <mergeCell ref="A35:C35"/>
    <mergeCell ref="A36:K36"/>
    <mergeCell ref="F49:G49"/>
    <mergeCell ref="H49:H50"/>
    <mergeCell ref="A41:C41"/>
    <mergeCell ref="G41:H41"/>
    <mergeCell ref="I49:J49"/>
    <mergeCell ref="A50:B50"/>
    <mergeCell ref="D50:E50"/>
    <mergeCell ref="F50:G50"/>
    <mergeCell ref="I50:J50"/>
    <mergeCell ref="A48:B48"/>
    <mergeCell ref="A49:B49"/>
    <mergeCell ref="D49:E49"/>
  </mergeCells>
  <printOptions horizontalCentered="1"/>
  <pageMargins left="0.118110236220472" right="0" top="0.196850393700787" bottom="0" header="0" footer="0"/>
  <pageSetup paperSize="9" scale="49" orientation="landscape" r:id="rId1"/>
  <headerFooter>
    <oddFooter xml:space="preserve">&amp;R&amp;16FM-SL001-03 (Rev.00)   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E817-5F71-4160-9409-98432BAFB4AF}">
  <sheetPr>
    <pageSetUpPr fitToPage="1"/>
  </sheetPr>
  <dimension ref="A1:O61"/>
  <sheetViews>
    <sheetView topLeftCell="A22" zoomScale="55" zoomScaleNormal="55" workbookViewId="0">
      <selection activeCell="F50" sqref="F50:G50"/>
    </sheetView>
  </sheetViews>
  <sheetFormatPr baseColWidth="10" defaultColWidth="11" defaultRowHeight="16"/>
  <cols>
    <col min="1" max="1" width="9.796875" style="10" customWidth="1"/>
    <col min="2" max="2" width="18.796875" style="10" customWidth="1"/>
    <col min="3" max="3" width="52.59765625" style="1" customWidth="1"/>
    <col min="4" max="4" width="10.19921875" style="1" customWidth="1"/>
    <col min="5" max="5" width="24.796875" style="76" customWidth="1"/>
    <col min="6" max="6" width="25.796875" style="11" customWidth="1"/>
    <col min="7" max="8" width="15.59765625" style="1" customWidth="1"/>
    <col min="9" max="9" width="25" style="11" customWidth="1"/>
    <col min="10" max="10" width="27.796875" style="11" customWidth="1"/>
    <col min="11" max="11" width="75.19921875" style="1" customWidth="1"/>
    <col min="12" max="12" width="11" style="1"/>
    <col min="13" max="13" width="19.59765625" style="1" customWidth="1"/>
    <col min="14" max="16384" width="11" style="1"/>
  </cols>
  <sheetData>
    <row r="1" spans="1:15" ht="24.75" customHeight="1">
      <c r="A1" s="296" t="s">
        <v>19</v>
      </c>
      <c r="B1" s="296"/>
      <c r="C1" s="296"/>
      <c r="D1" s="297" t="s">
        <v>20</v>
      </c>
      <c r="E1" s="297"/>
      <c r="F1" s="298"/>
      <c r="G1" s="298"/>
      <c r="H1" s="298"/>
      <c r="I1" s="159" t="s">
        <v>21</v>
      </c>
      <c r="J1" s="298"/>
      <c r="K1" s="298"/>
    </row>
    <row r="2" spans="1:15" ht="27" customHeight="1">
      <c r="A2" s="296"/>
      <c r="B2" s="296"/>
      <c r="C2" s="296"/>
      <c r="D2" s="297" t="s">
        <v>22</v>
      </c>
      <c r="E2" s="297"/>
      <c r="F2" s="298"/>
      <c r="G2" s="298"/>
      <c r="H2" s="298"/>
      <c r="I2" s="159" t="s">
        <v>77</v>
      </c>
      <c r="J2" s="299"/>
      <c r="K2" s="299"/>
    </row>
    <row r="3" spans="1:15" ht="20.25" customHeight="1">
      <c r="A3" s="291" t="s">
        <v>23</v>
      </c>
      <c r="B3" s="291" t="s">
        <v>24</v>
      </c>
      <c r="C3" s="291" t="s">
        <v>11</v>
      </c>
      <c r="D3" s="291" t="s">
        <v>25</v>
      </c>
      <c r="E3" s="290" t="s">
        <v>26</v>
      </c>
      <c r="F3" s="290"/>
      <c r="G3" s="295" t="s">
        <v>27</v>
      </c>
      <c r="H3" s="295"/>
      <c r="I3" s="290" t="s">
        <v>28</v>
      </c>
      <c r="J3" s="290"/>
      <c r="K3" s="291" t="s">
        <v>29</v>
      </c>
    </row>
    <row r="4" spans="1:15">
      <c r="A4" s="291"/>
      <c r="B4" s="291"/>
      <c r="C4" s="292"/>
      <c r="D4" s="292"/>
      <c r="E4" s="162" t="s">
        <v>30</v>
      </c>
      <c r="F4" s="162" t="s">
        <v>31</v>
      </c>
      <c r="G4" s="161" t="s">
        <v>24</v>
      </c>
      <c r="H4" s="161" t="s">
        <v>32</v>
      </c>
      <c r="I4" s="161" t="s">
        <v>30</v>
      </c>
      <c r="J4" s="162" t="s">
        <v>31</v>
      </c>
      <c r="K4" s="292"/>
    </row>
    <row r="5" spans="1:15" s="2" customFormat="1" ht="21.75" customHeight="1">
      <c r="A5" s="163" t="s">
        <v>33</v>
      </c>
      <c r="B5" s="163"/>
      <c r="C5" s="164"/>
      <c r="D5" s="164"/>
      <c r="E5" s="165"/>
      <c r="F5" s="166"/>
      <c r="G5" s="164"/>
      <c r="H5" s="164"/>
      <c r="I5" s="166"/>
      <c r="J5" s="166"/>
      <c r="K5" s="164"/>
    </row>
    <row r="6" spans="1:15" s="2" customFormat="1" ht="21.75" customHeight="1">
      <c r="A6" s="25"/>
      <c r="B6" s="26" t="s">
        <v>34</v>
      </c>
      <c r="C6" s="27" t="s">
        <v>35</v>
      </c>
      <c r="D6" s="28">
        <v>0</v>
      </c>
      <c r="E6" s="69">
        <v>0</v>
      </c>
      <c r="F6" s="171">
        <f>+E6*D6</f>
        <v>0</v>
      </c>
      <c r="G6" s="29">
        <v>0</v>
      </c>
      <c r="H6" s="30">
        <v>0</v>
      </c>
      <c r="I6" s="31">
        <v>0</v>
      </c>
      <c r="J6" s="172">
        <f>+I6*D6</f>
        <v>0</v>
      </c>
      <c r="K6" s="32"/>
    </row>
    <row r="7" spans="1:15" s="2" customFormat="1" ht="21.75" customHeight="1">
      <c r="A7" s="25"/>
      <c r="B7" s="26"/>
      <c r="C7" s="33"/>
      <c r="D7" s="28">
        <v>0</v>
      </c>
      <c r="E7" s="69">
        <v>0</v>
      </c>
      <c r="F7" s="171">
        <f>+E7*D7</f>
        <v>0</v>
      </c>
      <c r="G7" s="29">
        <v>0</v>
      </c>
      <c r="H7" s="30">
        <v>0</v>
      </c>
      <c r="I7" s="31">
        <v>0</v>
      </c>
      <c r="J7" s="172">
        <f>+I7*D7</f>
        <v>0</v>
      </c>
      <c r="K7" s="32"/>
    </row>
    <row r="8" spans="1:15" s="2" customFormat="1" ht="21.75" customHeight="1">
      <c r="A8" s="25"/>
      <c r="B8" s="26"/>
      <c r="C8" s="33"/>
      <c r="D8" s="28">
        <v>0</v>
      </c>
      <c r="E8" s="69">
        <v>0</v>
      </c>
      <c r="F8" s="171">
        <f>+E8*D8</f>
        <v>0</v>
      </c>
      <c r="G8" s="29">
        <v>0</v>
      </c>
      <c r="H8" s="30">
        <v>0</v>
      </c>
      <c r="I8" s="31">
        <v>0</v>
      </c>
      <c r="J8" s="172">
        <f>+I8*D8</f>
        <v>0</v>
      </c>
      <c r="K8" s="32"/>
      <c r="N8" s="293"/>
      <c r="O8" s="294"/>
    </row>
    <row r="9" spans="1:15" s="4" customFormat="1" ht="21.75" customHeight="1">
      <c r="A9" s="281" t="s">
        <v>36</v>
      </c>
      <c r="B9" s="281"/>
      <c r="C9" s="281"/>
      <c r="D9" s="35"/>
      <c r="E9" s="70"/>
      <c r="F9" s="170">
        <f>SUM(F6:F8)</f>
        <v>0</v>
      </c>
      <c r="G9" s="36" t="s">
        <v>37</v>
      </c>
      <c r="H9" s="37" t="e">
        <f>I9/J9</f>
        <v>#DIV/0!</v>
      </c>
      <c r="I9" s="38">
        <f>F9-J9</f>
        <v>0</v>
      </c>
      <c r="J9" s="170">
        <f>SUM(J6:J8)</f>
        <v>0</v>
      </c>
      <c r="K9" s="39"/>
      <c r="N9" s="5"/>
      <c r="O9" s="5"/>
    </row>
    <row r="10" spans="1:15" s="2" customFormat="1" ht="21.75" customHeight="1">
      <c r="A10" s="286" t="s">
        <v>38</v>
      </c>
      <c r="B10" s="286"/>
      <c r="C10" s="287"/>
      <c r="D10" s="287"/>
      <c r="E10" s="287"/>
      <c r="F10" s="287"/>
      <c r="G10" s="287"/>
      <c r="H10" s="287"/>
      <c r="I10" s="287"/>
      <c r="J10" s="287"/>
      <c r="K10" s="287"/>
    </row>
    <row r="11" spans="1:15" s="2" customFormat="1" ht="21.75" customHeight="1">
      <c r="A11" s="25"/>
      <c r="B11" s="26" t="s">
        <v>34</v>
      </c>
      <c r="C11" s="33" t="s">
        <v>35</v>
      </c>
      <c r="D11" s="28">
        <v>0</v>
      </c>
      <c r="E11" s="71">
        <v>0</v>
      </c>
      <c r="F11" s="171">
        <f>+E11*D11</f>
        <v>0</v>
      </c>
      <c r="G11" s="29">
        <v>0</v>
      </c>
      <c r="H11" s="30">
        <v>0</v>
      </c>
      <c r="I11" s="31">
        <v>0</v>
      </c>
      <c r="J11" s="172">
        <f>+I11*D11</f>
        <v>0</v>
      </c>
      <c r="K11" s="32" t="s">
        <v>39</v>
      </c>
      <c r="M11" s="6"/>
    </row>
    <row r="12" spans="1:15" s="2" customFormat="1" ht="21.75" customHeight="1">
      <c r="A12" s="25"/>
      <c r="B12" s="26"/>
      <c r="C12" s="33"/>
      <c r="D12" s="28">
        <v>0</v>
      </c>
      <c r="E12" s="71">
        <v>0</v>
      </c>
      <c r="F12" s="171">
        <f>+E12*D12</f>
        <v>0</v>
      </c>
      <c r="G12" s="29">
        <v>0</v>
      </c>
      <c r="H12" s="30">
        <v>0</v>
      </c>
      <c r="I12" s="31">
        <v>0</v>
      </c>
      <c r="J12" s="172">
        <f>+I12*D12</f>
        <v>0</v>
      </c>
      <c r="K12" s="32"/>
      <c r="M12" s="6"/>
    </row>
    <row r="13" spans="1:15" s="2" customFormat="1" ht="21.75" customHeight="1">
      <c r="A13" s="25"/>
      <c r="B13" s="26"/>
      <c r="C13" s="33"/>
      <c r="D13" s="28">
        <v>0</v>
      </c>
      <c r="E13" s="72">
        <v>0</v>
      </c>
      <c r="F13" s="169">
        <f>+E13*D13</f>
        <v>0</v>
      </c>
      <c r="G13" s="40">
        <v>0</v>
      </c>
      <c r="H13" s="30">
        <v>0</v>
      </c>
      <c r="I13" s="31">
        <v>0</v>
      </c>
      <c r="J13" s="172">
        <f>+I13*D13</f>
        <v>0</v>
      </c>
      <c r="K13" s="32"/>
      <c r="M13" s="6"/>
    </row>
    <row r="14" spans="1:15" s="2" customFormat="1" ht="21.75" customHeight="1">
      <c r="A14" s="281" t="s">
        <v>40</v>
      </c>
      <c r="B14" s="281"/>
      <c r="C14" s="281"/>
      <c r="D14" s="41"/>
      <c r="E14" s="73"/>
      <c r="F14" s="170">
        <f>SUM(F11:F13)</f>
        <v>0</v>
      </c>
      <c r="G14" s="36" t="s">
        <v>37</v>
      </c>
      <c r="H14" s="37" t="e">
        <f>I14/J14</f>
        <v>#DIV/0!</v>
      </c>
      <c r="I14" s="38">
        <f>J14-F14</f>
        <v>0</v>
      </c>
      <c r="J14" s="170">
        <f>SUM(J11:J13)</f>
        <v>0</v>
      </c>
      <c r="K14" s="39"/>
    </row>
    <row r="15" spans="1:15" s="2" customFormat="1" ht="21.75" customHeight="1">
      <c r="A15" s="286" t="s">
        <v>41</v>
      </c>
      <c r="B15" s="286"/>
      <c r="C15" s="287"/>
      <c r="D15" s="287"/>
      <c r="E15" s="287"/>
      <c r="F15" s="287"/>
      <c r="G15" s="287"/>
      <c r="H15" s="287"/>
      <c r="I15" s="287"/>
      <c r="J15" s="287"/>
      <c r="K15" s="287"/>
    </row>
    <row r="16" spans="1:15" s="2" customFormat="1" ht="21.75" customHeight="1">
      <c r="A16" s="25"/>
      <c r="B16" s="26" t="s">
        <v>34</v>
      </c>
      <c r="C16" s="33" t="s">
        <v>42</v>
      </c>
      <c r="D16" s="28">
        <v>0</v>
      </c>
      <c r="E16" s="69">
        <v>0</v>
      </c>
      <c r="F16" s="171">
        <f>+E16*D16</f>
        <v>0</v>
      </c>
      <c r="G16" s="29">
        <v>0</v>
      </c>
      <c r="H16" s="30">
        <v>0</v>
      </c>
      <c r="I16" s="31">
        <v>0</v>
      </c>
      <c r="J16" s="172">
        <f>+I16*D16</f>
        <v>0</v>
      </c>
      <c r="K16" s="32"/>
    </row>
    <row r="17" spans="1:13" s="2" customFormat="1" ht="21.75" customHeight="1">
      <c r="A17" s="25"/>
      <c r="B17" s="26"/>
      <c r="C17" s="33"/>
      <c r="D17" s="28">
        <v>0</v>
      </c>
      <c r="E17" s="69"/>
      <c r="F17" s="171">
        <f>+E17*D17</f>
        <v>0</v>
      </c>
      <c r="G17" s="29"/>
      <c r="H17" s="30"/>
      <c r="I17" s="31">
        <v>0</v>
      </c>
      <c r="J17" s="172">
        <f>+I17*D17</f>
        <v>0</v>
      </c>
      <c r="K17" s="32"/>
      <c r="M17" s="6"/>
    </row>
    <row r="18" spans="1:13" s="4" customFormat="1" ht="21.75" customHeight="1">
      <c r="A18" s="25"/>
      <c r="B18" s="26"/>
      <c r="C18" s="33"/>
      <c r="D18" s="28">
        <v>0</v>
      </c>
      <c r="E18" s="69">
        <v>0</v>
      </c>
      <c r="F18" s="171">
        <f>+E18*D18</f>
        <v>0</v>
      </c>
      <c r="G18" s="29">
        <v>0</v>
      </c>
      <c r="H18" s="30">
        <v>0</v>
      </c>
      <c r="I18" s="31">
        <v>0</v>
      </c>
      <c r="J18" s="172">
        <f>+I18*D18</f>
        <v>0</v>
      </c>
      <c r="K18" s="32"/>
      <c r="M18" s="3"/>
    </row>
    <row r="19" spans="1:13" s="2" customFormat="1" ht="21.75" customHeight="1">
      <c r="A19" s="281" t="s">
        <v>43</v>
      </c>
      <c r="B19" s="281"/>
      <c r="C19" s="281"/>
      <c r="D19" s="41"/>
      <c r="E19" s="73"/>
      <c r="F19" s="170">
        <f>SUM(F16:F18)</f>
        <v>0</v>
      </c>
      <c r="G19" s="36" t="s">
        <v>37</v>
      </c>
      <c r="H19" s="37" t="e">
        <f>I19/J19</f>
        <v>#DIV/0!</v>
      </c>
      <c r="I19" s="38">
        <f>J19-F19</f>
        <v>0</v>
      </c>
      <c r="J19" s="170">
        <f>SUM(J16:J18)</f>
        <v>0</v>
      </c>
      <c r="K19" s="39"/>
      <c r="M19" s="6"/>
    </row>
    <row r="20" spans="1:13" s="2" customFormat="1" ht="21.75" customHeight="1">
      <c r="A20" s="286" t="s">
        <v>44</v>
      </c>
      <c r="B20" s="286"/>
      <c r="C20" s="287"/>
      <c r="D20" s="287"/>
      <c r="E20" s="287"/>
      <c r="F20" s="287"/>
      <c r="G20" s="287"/>
      <c r="H20" s="287"/>
      <c r="I20" s="287"/>
      <c r="J20" s="287"/>
      <c r="K20" s="287"/>
      <c r="M20" s="6"/>
    </row>
    <row r="21" spans="1:13" s="2" customFormat="1" ht="21.75" customHeight="1">
      <c r="A21" s="25"/>
      <c r="B21" s="26" t="s">
        <v>34</v>
      </c>
      <c r="C21" s="33" t="s">
        <v>42</v>
      </c>
      <c r="D21" s="28">
        <v>0</v>
      </c>
      <c r="E21" s="69">
        <v>0</v>
      </c>
      <c r="F21" s="171">
        <f>+E21*D21</f>
        <v>0</v>
      </c>
      <c r="G21" s="29">
        <v>0</v>
      </c>
      <c r="H21" s="30">
        <v>0</v>
      </c>
      <c r="I21" s="31">
        <v>0</v>
      </c>
      <c r="J21" s="172">
        <f>+I21*D21</f>
        <v>0</v>
      </c>
      <c r="K21" s="32"/>
      <c r="M21" s="6"/>
    </row>
    <row r="22" spans="1:13" s="2" customFormat="1" ht="21.75" customHeight="1">
      <c r="A22" s="25"/>
      <c r="B22" s="26"/>
      <c r="C22" s="33"/>
      <c r="D22" s="28">
        <v>0</v>
      </c>
      <c r="E22" s="69">
        <v>0</v>
      </c>
      <c r="F22" s="171">
        <f>+E22*D22</f>
        <v>0</v>
      </c>
      <c r="G22" s="29">
        <v>0</v>
      </c>
      <c r="H22" s="30">
        <v>0</v>
      </c>
      <c r="I22" s="31">
        <v>0</v>
      </c>
      <c r="J22" s="172">
        <f>+I22*D22</f>
        <v>0</v>
      </c>
      <c r="K22" s="32"/>
      <c r="M22" s="7"/>
    </row>
    <row r="23" spans="1:13" s="4" customFormat="1" ht="21.75" customHeight="1">
      <c r="A23" s="25"/>
      <c r="B23" s="26"/>
      <c r="C23" s="33"/>
      <c r="D23" s="28">
        <v>0</v>
      </c>
      <c r="E23" s="69">
        <v>0</v>
      </c>
      <c r="F23" s="171">
        <f>+E23*D23</f>
        <v>0</v>
      </c>
      <c r="G23" s="29">
        <v>0</v>
      </c>
      <c r="H23" s="30">
        <v>0</v>
      </c>
      <c r="I23" s="31">
        <v>0</v>
      </c>
      <c r="J23" s="172">
        <f>+I23*D23</f>
        <v>0</v>
      </c>
      <c r="K23" s="32"/>
    </row>
    <row r="24" spans="1:13" s="2" customFormat="1" ht="21.75" customHeight="1">
      <c r="A24" s="281" t="s">
        <v>45</v>
      </c>
      <c r="B24" s="281"/>
      <c r="C24" s="281"/>
      <c r="D24" s="41"/>
      <c r="E24" s="73"/>
      <c r="F24" s="170">
        <f>SUM(F21:F23)</f>
        <v>0</v>
      </c>
      <c r="G24" s="36" t="s">
        <v>37</v>
      </c>
      <c r="H24" s="37" t="e">
        <f>I24/J24</f>
        <v>#DIV/0!</v>
      </c>
      <c r="I24" s="38">
        <f>J24-F24</f>
        <v>0</v>
      </c>
      <c r="J24" s="170">
        <f>SUM(J21:J23)</f>
        <v>0</v>
      </c>
      <c r="K24" s="39"/>
    </row>
    <row r="25" spans="1:13" s="2" customFormat="1" ht="21.75" customHeight="1">
      <c r="A25" s="286" t="s">
        <v>46</v>
      </c>
      <c r="B25" s="286"/>
      <c r="C25" s="287"/>
      <c r="D25" s="287"/>
      <c r="E25" s="287"/>
      <c r="F25" s="287"/>
      <c r="G25" s="287"/>
      <c r="H25" s="287"/>
      <c r="I25" s="287"/>
      <c r="J25" s="287"/>
      <c r="K25" s="287"/>
    </row>
    <row r="26" spans="1:13" s="2" customFormat="1" ht="21.75" customHeight="1">
      <c r="A26" s="42" t="s">
        <v>47</v>
      </c>
      <c r="B26" s="42" t="s">
        <v>49</v>
      </c>
      <c r="C26" s="47" t="s">
        <v>50</v>
      </c>
      <c r="D26" s="44">
        <v>0</v>
      </c>
      <c r="E26" s="74"/>
      <c r="F26" s="171">
        <f>+E26*D26</f>
        <v>0</v>
      </c>
      <c r="G26" s="29">
        <v>0</v>
      </c>
      <c r="H26" s="30">
        <v>0</v>
      </c>
      <c r="I26" s="45">
        <v>0</v>
      </c>
      <c r="J26" s="172">
        <f>+I26*D26</f>
        <v>0</v>
      </c>
      <c r="K26" s="48"/>
    </row>
    <row r="27" spans="1:13" s="4" customFormat="1" ht="21.75" customHeight="1">
      <c r="A27" s="42" t="s">
        <v>47</v>
      </c>
      <c r="B27" s="42" t="s">
        <v>49</v>
      </c>
      <c r="C27" s="43" t="s">
        <v>51</v>
      </c>
      <c r="D27" s="44">
        <v>0</v>
      </c>
      <c r="E27" s="71"/>
      <c r="F27" s="171">
        <f>+E27*D27</f>
        <v>0</v>
      </c>
      <c r="G27" s="29">
        <v>0</v>
      </c>
      <c r="H27" s="30">
        <v>0</v>
      </c>
      <c r="I27" s="45">
        <v>0</v>
      </c>
      <c r="J27" s="172">
        <f>+I27*D27</f>
        <v>0</v>
      </c>
      <c r="K27" s="48"/>
    </row>
    <row r="28" spans="1:13" s="2" customFormat="1" ht="21.75" customHeight="1">
      <c r="A28" s="281" t="s">
        <v>52</v>
      </c>
      <c r="B28" s="281"/>
      <c r="C28" s="281"/>
      <c r="D28" s="41"/>
      <c r="E28" s="73"/>
      <c r="F28" s="170">
        <f>SUM(F26:F27)</f>
        <v>0</v>
      </c>
      <c r="G28" s="36" t="s">
        <v>37</v>
      </c>
      <c r="H28" s="37" t="e">
        <f>I28/J28</f>
        <v>#DIV/0!</v>
      </c>
      <c r="I28" s="38">
        <f>J28-F28</f>
        <v>0</v>
      </c>
      <c r="J28" s="170">
        <f>SUM(J26:J27)</f>
        <v>0</v>
      </c>
      <c r="K28" s="39"/>
    </row>
    <row r="29" spans="1:13" s="2" customFormat="1" ht="21.75" customHeight="1">
      <c r="A29" s="286" t="s">
        <v>53</v>
      </c>
      <c r="B29" s="286"/>
      <c r="C29" s="287"/>
      <c r="D29" s="287"/>
      <c r="E29" s="287"/>
      <c r="F29" s="287"/>
      <c r="G29" s="287"/>
      <c r="H29" s="287"/>
      <c r="I29" s="287"/>
      <c r="J29" s="287"/>
      <c r="K29" s="287"/>
    </row>
    <row r="30" spans="1:13" s="2" customFormat="1" ht="21.75" customHeight="1">
      <c r="A30" s="183" t="s">
        <v>47</v>
      </c>
      <c r="B30" s="183" t="s">
        <v>98</v>
      </c>
      <c r="C30" s="193" t="s">
        <v>110</v>
      </c>
      <c r="D30" s="185">
        <v>1</v>
      </c>
      <c r="E30" s="186">
        <f>J47*0.5%</f>
        <v>0</v>
      </c>
      <c r="F30" s="187">
        <f>+E30*D30</f>
        <v>0</v>
      </c>
      <c r="G30" s="188">
        <v>0</v>
      </c>
      <c r="H30" s="189">
        <v>0</v>
      </c>
      <c r="I30" s="190">
        <v>0</v>
      </c>
      <c r="J30" s="191">
        <f t="shared" ref="J30:J35" si="0">+I30*D30</f>
        <v>0</v>
      </c>
      <c r="K30" s="194"/>
    </row>
    <row r="31" spans="1:13" s="2" customFormat="1" ht="21.75" customHeight="1">
      <c r="A31" s="183" t="s">
        <v>47</v>
      </c>
      <c r="B31" s="183" t="s">
        <v>111</v>
      </c>
      <c r="C31" s="184" t="s">
        <v>109</v>
      </c>
      <c r="D31" s="185">
        <v>1</v>
      </c>
      <c r="E31" s="186">
        <f>J47*0.5%</f>
        <v>0</v>
      </c>
      <c r="F31" s="187">
        <f>+E31*D31</f>
        <v>0</v>
      </c>
      <c r="G31" s="188">
        <v>0</v>
      </c>
      <c r="H31" s="189">
        <v>0</v>
      </c>
      <c r="I31" s="190">
        <v>0</v>
      </c>
      <c r="J31" s="191">
        <f t="shared" si="0"/>
        <v>0</v>
      </c>
      <c r="K31" s="192"/>
    </row>
    <row r="32" spans="1:13" s="2" customFormat="1" ht="21.75" customHeight="1">
      <c r="A32" s="42" t="s">
        <v>47</v>
      </c>
      <c r="B32" s="42" t="s">
        <v>111</v>
      </c>
      <c r="C32" s="47" t="s">
        <v>50</v>
      </c>
      <c r="D32" s="44">
        <v>0</v>
      </c>
      <c r="E32" s="74"/>
      <c r="F32" s="171">
        <f>+E32*D32</f>
        <v>0</v>
      </c>
      <c r="G32" s="29">
        <v>0</v>
      </c>
      <c r="H32" s="30">
        <v>0</v>
      </c>
      <c r="I32" s="45">
        <v>0</v>
      </c>
      <c r="J32" s="172">
        <f t="shared" si="0"/>
        <v>0</v>
      </c>
      <c r="K32" s="48"/>
    </row>
    <row r="33" spans="1:11" s="4" customFormat="1" ht="21.75" customHeight="1">
      <c r="A33" s="42" t="s">
        <v>47</v>
      </c>
      <c r="B33" s="42" t="s">
        <v>111</v>
      </c>
      <c r="C33" s="43" t="s">
        <v>51</v>
      </c>
      <c r="D33" s="44">
        <v>0</v>
      </c>
      <c r="E33" s="74"/>
      <c r="F33" s="171">
        <f t="shared" ref="F33" si="1">+E33*D33</f>
        <v>0</v>
      </c>
      <c r="G33" s="29">
        <v>0</v>
      </c>
      <c r="H33" s="30">
        <v>0</v>
      </c>
      <c r="I33" s="45">
        <v>0</v>
      </c>
      <c r="J33" s="172">
        <f t="shared" si="0"/>
        <v>0</v>
      </c>
      <c r="K33" s="48"/>
    </row>
    <row r="34" spans="1:11" s="2" customFormat="1" ht="21.75" customHeight="1">
      <c r="A34" s="25"/>
      <c r="B34" s="25" t="s">
        <v>34</v>
      </c>
      <c r="C34" s="51" t="s">
        <v>87</v>
      </c>
      <c r="D34" s="28">
        <v>0</v>
      </c>
      <c r="E34" s="69"/>
      <c r="F34" s="171">
        <f>+E34*D34</f>
        <v>0</v>
      </c>
      <c r="G34" s="29"/>
      <c r="H34" s="30"/>
      <c r="I34" s="31"/>
      <c r="J34" s="172">
        <f t="shared" si="0"/>
        <v>0</v>
      </c>
      <c r="K34" s="52"/>
    </row>
    <row r="35" spans="1:11" s="4" customFormat="1" ht="21.75" customHeight="1">
      <c r="A35" s="25"/>
      <c r="B35" s="25"/>
      <c r="C35" s="51" t="s">
        <v>100</v>
      </c>
      <c r="D35" s="28">
        <v>1</v>
      </c>
      <c r="E35" s="69">
        <v>0</v>
      </c>
      <c r="F35" s="171">
        <f>+E35*D35</f>
        <v>0</v>
      </c>
      <c r="G35" s="29">
        <v>0</v>
      </c>
      <c r="H35" s="30">
        <v>0</v>
      </c>
      <c r="I35" s="31">
        <v>0</v>
      </c>
      <c r="J35" s="172">
        <f t="shared" si="0"/>
        <v>0</v>
      </c>
      <c r="K35" s="32"/>
    </row>
    <row r="36" spans="1:11" s="2" customFormat="1" ht="21.75" customHeight="1">
      <c r="A36" s="281" t="s">
        <v>54</v>
      </c>
      <c r="B36" s="281"/>
      <c r="C36" s="281"/>
      <c r="D36" s="41"/>
      <c r="E36" s="73"/>
      <c r="F36" s="170">
        <f>SUM(F30:F35)</f>
        <v>0</v>
      </c>
      <c r="G36" s="36" t="s">
        <v>37</v>
      </c>
      <c r="H36" s="37" t="e">
        <f>I36/J36</f>
        <v>#DIV/0!</v>
      </c>
      <c r="I36" s="38">
        <f>J36-F36</f>
        <v>0</v>
      </c>
      <c r="J36" s="170">
        <f>SUM(J30:J35)</f>
        <v>0</v>
      </c>
      <c r="K36" s="39"/>
    </row>
    <row r="37" spans="1:11" s="2" customFormat="1" ht="21.75" customHeight="1">
      <c r="A37" s="286" t="s">
        <v>55</v>
      </c>
      <c r="B37" s="286"/>
      <c r="C37" s="287"/>
      <c r="D37" s="287"/>
      <c r="E37" s="287"/>
      <c r="F37" s="287"/>
      <c r="G37" s="287"/>
      <c r="H37" s="287"/>
      <c r="I37" s="287"/>
      <c r="J37" s="287"/>
      <c r="K37" s="287"/>
    </row>
    <row r="38" spans="1:11" s="2" customFormat="1" ht="21.75" customHeight="1">
      <c r="A38" s="25"/>
      <c r="B38" s="53" t="s">
        <v>56</v>
      </c>
      <c r="C38" s="54" t="s">
        <v>57</v>
      </c>
      <c r="D38" s="55">
        <v>0.01</v>
      </c>
      <c r="E38" s="69">
        <f>J47*1%</f>
        <v>0</v>
      </c>
      <c r="F38" s="169">
        <f>J47*D38</f>
        <v>0</v>
      </c>
      <c r="G38" s="29"/>
      <c r="H38" s="30"/>
      <c r="I38" s="31"/>
      <c r="J38" s="173" t="s">
        <v>58</v>
      </c>
      <c r="K38" s="32" t="s">
        <v>59</v>
      </c>
    </row>
    <row r="39" spans="1:11" s="2" customFormat="1" ht="21.75" customHeight="1">
      <c r="A39" s="25"/>
      <c r="B39" s="25"/>
      <c r="C39" s="51" t="s">
        <v>78</v>
      </c>
      <c r="D39" s="28"/>
      <c r="E39" s="69">
        <v>0</v>
      </c>
      <c r="F39" s="169">
        <f>E39*D39</f>
        <v>0</v>
      </c>
      <c r="G39" s="29"/>
      <c r="H39" s="30"/>
      <c r="I39" s="31"/>
      <c r="J39" s="173" t="s">
        <v>58</v>
      </c>
      <c r="K39" s="52"/>
    </row>
    <row r="40" spans="1:11" s="2" customFormat="1" ht="34">
      <c r="A40" s="25"/>
      <c r="B40" s="25"/>
      <c r="C40" s="51" t="s">
        <v>99</v>
      </c>
      <c r="D40" s="28"/>
      <c r="E40" s="69"/>
      <c r="F40" s="169">
        <f>E40*D40</f>
        <v>0</v>
      </c>
      <c r="G40" s="29"/>
      <c r="H40" s="30"/>
      <c r="I40" s="31"/>
      <c r="J40" s="173" t="s">
        <v>58</v>
      </c>
      <c r="K40" s="195" t="s">
        <v>101</v>
      </c>
    </row>
    <row r="41" spans="1:11" s="2" customFormat="1" ht="21.75" customHeight="1">
      <c r="A41" s="25"/>
      <c r="B41" s="25"/>
      <c r="C41" s="51" t="s">
        <v>112</v>
      </c>
      <c r="D41" s="28"/>
      <c r="E41" s="69">
        <v>0</v>
      </c>
      <c r="F41" s="169">
        <f>J50*D41</f>
        <v>0</v>
      </c>
      <c r="G41" s="29">
        <v>0</v>
      </c>
      <c r="H41" s="30">
        <v>0</v>
      </c>
      <c r="I41" s="31"/>
      <c r="J41" s="173" t="s">
        <v>58</v>
      </c>
      <c r="K41" s="32"/>
    </row>
    <row r="42" spans="1:11" s="4" customFormat="1" ht="21.75" customHeight="1">
      <c r="A42" s="281" t="s">
        <v>60</v>
      </c>
      <c r="B42" s="281"/>
      <c r="C42" s="281"/>
      <c r="D42" s="41"/>
      <c r="E42" s="73"/>
      <c r="F42" s="170">
        <f>SUM(F38:F41)</f>
        <v>0</v>
      </c>
      <c r="G42" s="282"/>
      <c r="H42" s="282"/>
      <c r="I42" s="56"/>
      <c r="J42" s="173" t="s">
        <v>58</v>
      </c>
      <c r="K42" s="39"/>
    </row>
    <row r="43" spans="1:11" s="2" customFormat="1" ht="21.75" customHeight="1">
      <c r="A43" s="163" t="s">
        <v>61</v>
      </c>
      <c r="B43" s="163"/>
      <c r="C43" s="164"/>
      <c r="D43" s="167" t="s">
        <v>62</v>
      </c>
      <c r="E43" s="168"/>
      <c r="F43" s="166"/>
      <c r="G43" s="167"/>
      <c r="H43" s="167"/>
      <c r="I43" s="168"/>
      <c r="J43" s="166"/>
      <c r="K43" s="164"/>
    </row>
    <row r="44" spans="1:11" s="2" customFormat="1" ht="21.75" customHeight="1">
      <c r="A44" s="25"/>
      <c r="B44" s="25"/>
      <c r="C44" s="50" t="s">
        <v>63</v>
      </c>
      <c r="D44" s="55">
        <v>0.08</v>
      </c>
      <c r="E44" s="69">
        <v>1</v>
      </c>
      <c r="F44" s="169">
        <f>J47*(D44/12)*E44</f>
        <v>0</v>
      </c>
      <c r="G44" s="57"/>
      <c r="H44" s="58"/>
      <c r="I44" s="59"/>
      <c r="J44" s="174" t="s">
        <v>58</v>
      </c>
      <c r="K44" s="32" t="s">
        <v>64</v>
      </c>
    </row>
    <row r="45" spans="1:11" s="2" customFormat="1" ht="21.75" customHeight="1">
      <c r="A45" s="25"/>
      <c r="B45" s="25"/>
      <c r="C45" s="50" t="s">
        <v>65</v>
      </c>
      <c r="D45" s="55">
        <v>0</v>
      </c>
      <c r="E45" s="69">
        <v>0</v>
      </c>
      <c r="F45" s="169">
        <f>J47*D45</f>
        <v>0</v>
      </c>
      <c r="G45" s="57"/>
      <c r="H45" s="58"/>
      <c r="I45" s="59"/>
      <c r="J45" s="174" t="s">
        <v>58</v>
      </c>
      <c r="K45" s="32" t="s">
        <v>66</v>
      </c>
    </row>
    <row r="46" spans="1:11" s="2" customFormat="1" ht="21.75" customHeight="1">
      <c r="A46" s="49"/>
      <c r="B46" s="49"/>
      <c r="C46" s="50"/>
      <c r="D46" s="60"/>
      <c r="E46" s="72"/>
      <c r="F46" s="169"/>
      <c r="G46" s="40"/>
      <c r="H46" s="60"/>
      <c r="I46" s="61" t="s">
        <v>67</v>
      </c>
      <c r="J46" s="175" t="s">
        <v>68</v>
      </c>
      <c r="K46" s="62"/>
    </row>
    <row r="47" spans="1:11" s="2" customFormat="1" ht="33.75" customHeight="1">
      <c r="A47" s="285" t="s">
        <v>69</v>
      </c>
      <c r="B47" s="285"/>
      <c r="C47" s="285"/>
      <c r="D47" s="287"/>
      <c r="E47" s="287"/>
      <c r="F47" s="176">
        <f>F9+F14+F19+F24+F28+F36+F42+F44+F45</f>
        <v>0</v>
      </c>
      <c r="G47" s="63" t="s">
        <v>70</v>
      </c>
      <c r="H47" s="64" t="e">
        <f>I47/J47</f>
        <v>#DIV/0!</v>
      </c>
      <c r="I47" s="65">
        <f>J47-F47</f>
        <v>0</v>
      </c>
      <c r="J47" s="176">
        <f>J9+J14+J19+J24+J28+J36</f>
        <v>0</v>
      </c>
      <c r="K47" s="288" t="s">
        <v>71</v>
      </c>
    </row>
    <row r="48" spans="1:11" s="4" customFormat="1" ht="33.75" customHeight="1">
      <c r="A48" s="285" t="s">
        <v>86</v>
      </c>
      <c r="B48" s="285"/>
      <c r="C48" s="289" t="s">
        <v>73</v>
      </c>
      <c r="D48" s="289"/>
      <c r="E48" s="289"/>
      <c r="F48" s="289"/>
      <c r="G48" s="289"/>
      <c r="H48" s="289"/>
      <c r="I48" s="179" t="s">
        <v>72</v>
      </c>
      <c r="J48" s="177">
        <f>J47*0.07</f>
        <v>0</v>
      </c>
      <c r="K48" s="288"/>
    </row>
    <row r="49" spans="1:11" s="2" customFormat="1" ht="33.75" customHeight="1">
      <c r="A49" s="285"/>
      <c r="B49" s="285"/>
      <c r="C49" s="289"/>
      <c r="D49" s="289"/>
      <c r="E49" s="289"/>
      <c r="F49" s="289"/>
      <c r="G49" s="289"/>
      <c r="H49" s="289"/>
      <c r="I49" s="180" t="s">
        <v>74</v>
      </c>
      <c r="J49" s="178">
        <f>SUM(J47:J48)</f>
        <v>0</v>
      </c>
      <c r="K49" s="288"/>
    </row>
    <row r="50" spans="1:11" s="2" customFormat="1" ht="33.75" customHeight="1">
      <c r="A50" s="284" t="s">
        <v>75</v>
      </c>
      <c r="B50" s="284"/>
      <c r="C50" s="34" t="s">
        <v>93</v>
      </c>
      <c r="D50" s="284" t="s">
        <v>79</v>
      </c>
      <c r="E50" s="284"/>
      <c r="F50" s="279" t="s">
        <v>128</v>
      </c>
      <c r="G50" s="279"/>
      <c r="H50" s="280" t="s">
        <v>80</v>
      </c>
      <c r="I50" s="283"/>
      <c r="J50" s="283"/>
      <c r="K50" s="160"/>
    </row>
    <row r="51" spans="1:11" s="2" customFormat="1" ht="33.75" customHeight="1">
      <c r="A51" s="284" t="s">
        <v>81</v>
      </c>
      <c r="B51" s="284"/>
      <c r="C51" s="34" t="s">
        <v>92</v>
      </c>
      <c r="D51" s="284" t="s">
        <v>81</v>
      </c>
      <c r="E51" s="284"/>
      <c r="F51" s="279" t="s">
        <v>92</v>
      </c>
      <c r="G51" s="279"/>
      <c r="H51" s="280"/>
      <c r="I51" s="283"/>
      <c r="J51" s="283"/>
      <c r="K51" s="160"/>
    </row>
    <row r="52" spans="1:11" s="2" customFormat="1" ht="23">
      <c r="A52" s="49"/>
      <c r="B52" s="49"/>
      <c r="C52" s="66"/>
      <c r="D52" s="66"/>
      <c r="E52" s="75"/>
      <c r="F52" s="77"/>
      <c r="G52" s="66"/>
      <c r="H52" s="66"/>
      <c r="I52" s="67"/>
      <c r="J52" s="67"/>
      <c r="K52" s="68" t="s">
        <v>91</v>
      </c>
    </row>
    <row r="53" spans="1:11" s="2" customFormat="1">
      <c r="A53" s="8"/>
      <c r="B53" s="8"/>
      <c r="E53" s="7"/>
      <c r="F53" s="9"/>
      <c r="I53" s="9"/>
      <c r="J53" s="9"/>
    </row>
    <row r="54" spans="1:11" s="2" customFormat="1">
      <c r="A54" s="8"/>
      <c r="B54" s="8"/>
      <c r="D54" s="1"/>
      <c r="E54" s="76"/>
      <c r="F54" s="11"/>
      <c r="G54" s="1"/>
      <c r="H54" s="1"/>
      <c r="I54" s="11"/>
      <c r="J54" s="9"/>
    </row>
    <row r="55" spans="1:11" s="2" customFormat="1">
      <c r="A55" s="8"/>
      <c r="B55" s="8"/>
      <c r="D55" s="1"/>
      <c r="E55" s="76"/>
      <c r="F55" s="11"/>
      <c r="G55" s="1"/>
      <c r="H55" s="1"/>
      <c r="I55" s="11"/>
      <c r="J55" s="9"/>
    </row>
    <row r="56" spans="1:11" s="2" customFormat="1">
      <c r="A56" s="8"/>
      <c r="B56" s="8"/>
      <c r="D56" s="1"/>
      <c r="E56" s="76"/>
      <c r="F56" s="11"/>
      <c r="G56" s="1"/>
      <c r="H56" s="1"/>
      <c r="I56" s="11"/>
      <c r="J56" s="9"/>
    </row>
    <row r="57" spans="1:11" s="2" customFormat="1">
      <c r="A57" s="8"/>
      <c r="B57" s="8"/>
      <c r="D57" s="1"/>
      <c r="E57" s="76"/>
      <c r="F57" s="11"/>
      <c r="G57" s="1"/>
      <c r="H57" s="1"/>
      <c r="I57" s="11"/>
      <c r="J57" s="9"/>
    </row>
    <row r="58" spans="1:11" s="2" customFormat="1">
      <c r="A58" s="8"/>
      <c r="B58" s="8"/>
      <c r="D58" s="1"/>
      <c r="E58" s="76"/>
      <c r="F58" s="11"/>
      <c r="G58" s="1"/>
      <c r="H58" s="1"/>
      <c r="I58" s="11"/>
      <c r="J58" s="9"/>
    </row>
    <row r="59" spans="1:11" s="2" customFormat="1">
      <c r="A59" s="8"/>
      <c r="B59" s="8"/>
      <c r="D59" s="1"/>
      <c r="E59" s="76"/>
      <c r="F59" s="11"/>
      <c r="G59" s="1"/>
      <c r="H59" s="1"/>
      <c r="I59" s="11"/>
      <c r="J59" s="9"/>
    </row>
    <row r="60" spans="1:11" s="2" customFormat="1">
      <c r="A60" s="8"/>
      <c r="B60" s="8"/>
      <c r="D60" s="1"/>
      <c r="E60" s="76"/>
      <c r="F60" s="11"/>
      <c r="G60" s="1"/>
      <c r="H60" s="1"/>
      <c r="I60" s="11"/>
      <c r="J60" s="9"/>
    </row>
    <row r="61" spans="1:11" s="2" customFormat="1">
      <c r="A61" s="8"/>
      <c r="B61" s="8"/>
      <c r="D61" s="1"/>
      <c r="E61" s="76"/>
      <c r="F61" s="11"/>
      <c r="G61" s="1"/>
      <c r="H61" s="1"/>
      <c r="I61" s="11"/>
      <c r="J61" s="9"/>
    </row>
  </sheetData>
  <mergeCells count="45">
    <mergeCell ref="A1:C2"/>
    <mergeCell ref="D1:E1"/>
    <mergeCell ref="F1:H1"/>
    <mergeCell ref="J1:K1"/>
    <mergeCell ref="D2:E2"/>
    <mergeCell ref="F2:H2"/>
    <mergeCell ref="J2:K2"/>
    <mergeCell ref="A20:K20"/>
    <mergeCell ref="A28:C28"/>
    <mergeCell ref="I3:J3"/>
    <mergeCell ref="K3:K4"/>
    <mergeCell ref="N8:O8"/>
    <mergeCell ref="A9:C9"/>
    <mergeCell ref="A10:K10"/>
    <mergeCell ref="A14:C14"/>
    <mergeCell ref="A3:A4"/>
    <mergeCell ref="B3:B4"/>
    <mergeCell ref="C3:C4"/>
    <mergeCell ref="D3:D4"/>
    <mergeCell ref="E3:F3"/>
    <mergeCell ref="G3:H3"/>
    <mergeCell ref="A15:K15"/>
    <mergeCell ref="A19:C19"/>
    <mergeCell ref="A24:C24"/>
    <mergeCell ref="A25:K25"/>
    <mergeCell ref="A47:C47"/>
    <mergeCell ref="D47:E47"/>
    <mergeCell ref="K47:K49"/>
    <mergeCell ref="A48:B48"/>
    <mergeCell ref="C48:H49"/>
    <mergeCell ref="A29:K29"/>
    <mergeCell ref="A36:C36"/>
    <mergeCell ref="A37:K37"/>
    <mergeCell ref="F50:G50"/>
    <mergeCell ref="H50:H51"/>
    <mergeCell ref="A42:C42"/>
    <mergeCell ref="G42:H42"/>
    <mergeCell ref="I50:J50"/>
    <mergeCell ref="A51:B51"/>
    <mergeCell ref="D51:E51"/>
    <mergeCell ref="F51:G51"/>
    <mergeCell ref="I51:J51"/>
    <mergeCell ref="A49:B49"/>
    <mergeCell ref="A50:B50"/>
    <mergeCell ref="D50:E50"/>
  </mergeCells>
  <pageMargins left="0.7" right="0.7" top="0.75" bottom="0.75" header="0.3" footer="0.3"/>
  <pageSetup paperSize="9" scale="42" orientation="landscape" horizontalDpi="1200" verticalDpi="1200" r:id="rId1"/>
  <headerFooter>
    <oddFooter xml:space="preserve">&amp;R
&amp;16FM-SL001-03 (Rev.00)&amp;11
   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9E33-8C83-4597-84AF-37E0A903F3C7}">
  <sheetPr>
    <tabColor theme="1"/>
  </sheetPr>
  <dimension ref="A1:L22"/>
  <sheetViews>
    <sheetView showGridLines="0" zoomScaleNormal="100" workbookViewId="0">
      <selection activeCell="Q35" sqref="L35:Q47"/>
    </sheetView>
  </sheetViews>
  <sheetFormatPr baseColWidth="10" defaultColWidth="9.796875" defaultRowHeight="15"/>
  <cols>
    <col min="1" max="1" width="21.59765625" style="196" bestFit="1" customWidth="1"/>
    <col min="2" max="2" width="3.19921875" style="196" customWidth="1"/>
    <col min="3" max="3" width="16" style="196" bestFit="1" customWidth="1"/>
    <col min="4" max="4" width="8.59765625" style="196" bestFit="1" customWidth="1"/>
    <col min="5" max="5" width="4.19921875" style="196" customWidth="1"/>
    <col min="6" max="6" width="16" style="196" bestFit="1" customWidth="1"/>
    <col min="7" max="7" width="7.59765625" style="196" bestFit="1" customWidth="1"/>
    <col min="8" max="8" width="4.19921875" style="196" customWidth="1"/>
    <col min="9" max="9" width="13.796875" style="196" bestFit="1" customWidth="1"/>
    <col min="10" max="10" width="9.796875" style="196" bestFit="1" customWidth="1"/>
    <col min="11" max="16384" width="9.796875" style="196"/>
  </cols>
  <sheetData>
    <row r="1" spans="1:12">
      <c r="A1" s="199"/>
      <c r="B1" s="199"/>
      <c r="C1" s="242" t="s">
        <v>125</v>
      </c>
      <c r="D1" s="199"/>
      <c r="E1" s="205" t="s">
        <v>113</v>
      </c>
      <c r="F1" s="240" t="s">
        <v>124</v>
      </c>
      <c r="G1" s="241"/>
      <c r="H1" s="241"/>
      <c r="I1" s="240" t="s">
        <v>117</v>
      </c>
      <c r="J1" s="199"/>
    </row>
    <row r="2" spans="1:12" ht="18">
      <c r="A2" s="239" t="s">
        <v>123</v>
      </c>
      <c r="B2" s="199"/>
      <c r="C2" s="238">
        <f>F2</f>
        <v>0</v>
      </c>
      <c r="D2" s="237" t="e">
        <f>C2/$C$2</f>
        <v>#DIV/0!</v>
      </c>
      <c r="E2" s="205" t="s">
        <v>113</v>
      </c>
      <c r="F2" s="236"/>
      <c r="G2" s="233" t="e">
        <f>F2/$F$2</f>
        <v>#DIV/0!</v>
      </c>
      <c r="H2" s="235"/>
      <c r="I2" s="234">
        <f>F9</f>
        <v>0</v>
      </c>
      <c r="J2" s="233" t="e">
        <f>I2/$I$2</f>
        <v>#DIV/0!</v>
      </c>
    </row>
    <row r="3" spans="1:12" ht="9" customHeight="1">
      <c r="A3" s="220"/>
      <c r="B3" s="199"/>
      <c r="C3" s="225"/>
      <c r="D3" s="199"/>
      <c r="E3" s="205" t="s">
        <v>113</v>
      </c>
      <c r="F3" s="199"/>
      <c r="G3" s="211"/>
      <c r="H3" s="199"/>
      <c r="I3" s="199"/>
      <c r="J3" s="199"/>
    </row>
    <row r="4" spans="1:12">
      <c r="A4" s="232" t="s">
        <v>122</v>
      </c>
      <c r="B4" s="199"/>
      <c r="C4" s="223">
        <f>F4+I4</f>
        <v>0</v>
      </c>
      <c r="D4" s="231" t="e">
        <f>C4/$C$2</f>
        <v>#DIV/0!</v>
      </c>
      <c r="E4" s="205" t="s">
        <v>113</v>
      </c>
      <c r="F4" s="223"/>
      <c r="G4" s="230" t="e">
        <f>F4/$F$2</f>
        <v>#DIV/0!</v>
      </c>
      <c r="H4" s="199"/>
      <c r="I4" s="221"/>
      <c r="J4" s="230"/>
    </row>
    <row r="5" spans="1:12">
      <c r="A5" s="229" t="s">
        <v>121</v>
      </c>
      <c r="B5" s="199"/>
      <c r="C5" s="223">
        <f>I5</f>
        <v>0</v>
      </c>
      <c r="D5" s="199"/>
      <c r="E5" s="205" t="s">
        <v>113</v>
      </c>
      <c r="F5" s="225"/>
      <c r="G5" s="199"/>
      <c r="H5" s="199"/>
      <c r="I5" s="225"/>
      <c r="J5" s="211" t="e">
        <f>I5/$I$2</f>
        <v>#DIV/0!</v>
      </c>
    </row>
    <row r="6" spans="1:12">
      <c r="A6" s="228" t="s">
        <v>120</v>
      </c>
      <c r="B6" s="199"/>
      <c r="C6" s="223">
        <f>F6+I6</f>
        <v>0</v>
      </c>
      <c r="D6" s="213">
        <v>0.01</v>
      </c>
      <c r="E6" s="205" t="s">
        <v>113</v>
      </c>
      <c r="F6" s="225"/>
      <c r="G6" s="222" t="e">
        <f>F6/$F$2</f>
        <v>#DIV/0!</v>
      </c>
      <c r="H6" s="199"/>
      <c r="I6" s="198"/>
    </row>
    <row r="7" spans="1:12" ht="19">
      <c r="A7" s="228" t="s">
        <v>119</v>
      </c>
      <c r="B7" s="199"/>
      <c r="C7" s="223">
        <f>F7+I7</f>
        <v>0</v>
      </c>
      <c r="D7" s="213">
        <v>0.01</v>
      </c>
      <c r="E7" s="205" t="s">
        <v>113</v>
      </c>
      <c r="F7" s="225"/>
      <c r="G7" s="222" t="e">
        <f>F7/$F$2</f>
        <v>#DIV/0!</v>
      </c>
      <c r="H7" s="199"/>
      <c r="I7" s="198"/>
      <c r="L7" s="227"/>
    </row>
    <row r="8" spans="1:12">
      <c r="A8" s="226" t="s">
        <v>118</v>
      </c>
      <c r="B8" s="199"/>
      <c r="C8" s="223">
        <f>F8+I8</f>
        <v>0</v>
      </c>
      <c r="D8" s="213">
        <v>1.4999999999999999E-2</v>
      </c>
      <c r="E8" s="205" t="s">
        <v>113</v>
      </c>
      <c r="F8" s="225"/>
      <c r="G8" s="199"/>
      <c r="H8" s="199"/>
      <c r="I8" s="225"/>
      <c r="J8" s="211" t="e">
        <f>I8/$I$2</f>
        <v>#DIV/0!</v>
      </c>
    </row>
    <row r="9" spans="1:12">
      <c r="A9" s="224" t="s">
        <v>117</v>
      </c>
      <c r="B9" s="199"/>
      <c r="C9" s="223"/>
      <c r="D9" s="213"/>
      <c r="E9" s="205"/>
      <c r="F9" s="223"/>
      <c r="G9" s="222" t="e">
        <f>F9/$F$2</f>
        <v>#DIV/0!</v>
      </c>
      <c r="H9" s="199"/>
      <c r="I9" s="225"/>
      <c r="J9" s="211"/>
    </row>
    <row r="10" spans="1:12">
      <c r="A10" s="224"/>
      <c r="B10" s="199"/>
      <c r="C10" s="223"/>
      <c r="D10" s="213"/>
      <c r="E10" s="205"/>
      <c r="F10" s="214"/>
      <c r="G10" s="222"/>
      <c r="H10" s="199"/>
      <c r="I10" s="221"/>
      <c r="J10" s="211"/>
    </row>
    <row r="11" spans="1:12" ht="12.75" customHeight="1">
      <c r="A11" s="220" t="s">
        <v>116</v>
      </c>
      <c r="B11" s="199"/>
      <c r="C11" s="214">
        <f>F11+I11</f>
        <v>0</v>
      </c>
      <c r="D11" s="199"/>
      <c r="E11" s="205" t="s">
        <v>113</v>
      </c>
      <c r="F11" s="219"/>
      <c r="G11" s="199"/>
      <c r="H11" s="199"/>
      <c r="I11" s="199"/>
      <c r="J11" s="199"/>
    </row>
    <row r="12" spans="1:12">
      <c r="A12" s="218" t="s">
        <v>37</v>
      </c>
      <c r="B12" s="199"/>
      <c r="C12" s="217">
        <f>C2-SUM(C4:C11)</f>
        <v>0</v>
      </c>
      <c r="D12" s="216" t="e">
        <f>C12/$C$2</f>
        <v>#DIV/0!</v>
      </c>
      <c r="E12" s="205" t="s">
        <v>113</v>
      </c>
      <c r="F12" s="217">
        <f>F2*3%</f>
        <v>0</v>
      </c>
      <c r="G12" s="216" t="e">
        <f>F12/$F$2</f>
        <v>#DIV/0!</v>
      </c>
      <c r="H12" s="199"/>
      <c r="I12" s="217">
        <f>I2-SUM(I4:I9)</f>
        <v>0</v>
      </c>
      <c r="J12" s="216" t="e">
        <f>I12/$I$2</f>
        <v>#DIV/0!</v>
      </c>
    </row>
    <row r="13" spans="1:12">
      <c r="A13" s="215" t="s">
        <v>115</v>
      </c>
      <c r="B13" s="199"/>
      <c r="C13" s="214">
        <f>D13*$C$2</f>
        <v>0</v>
      </c>
      <c r="D13" s="213"/>
      <c r="E13" s="205" t="s">
        <v>113</v>
      </c>
      <c r="F13" s="208"/>
      <c r="G13" s="207"/>
      <c r="H13" s="199"/>
      <c r="I13" s="212">
        <f>C13</f>
        <v>0</v>
      </c>
      <c r="J13" s="211" t="e">
        <f>I13/$I$2</f>
        <v>#DIV/0!</v>
      </c>
    </row>
    <row r="14" spans="1:12" ht="6" customHeight="1">
      <c r="A14" s="210"/>
      <c r="B14" s="199"/>
      <c r="C14" s="208"/>
      <c r="D14" s="209"/>
      <c r="E14" s="205" t="s">
        <v>113</v>
      </c>
      <c r="F14" s="208"/>
      <c r="G14" s="207"/>
      <c r="H14" s="199"/>
      <c r="I14" s="208"/>
      <c r="J14" s="207"/>
    </row>
    <row r="15" spans="1:12">
      <c r="A15" s="206" t="s">
        <v>114</v>
      </c>
      <c r="B15" s="199"/>
      <c r="C15" s="204">
        <f>C12-C13</f>
        <v>0</v>
      </c>
      <c r="D15" s="203" t="e">
        <f>C15/C$2</f>
        <v>#DIV/0!</v>
      </c>
      <c r="E15" s="205" t="s">
        <v>113</v>
      </c>
      <c r="F15" s="204">
        <f>F12-F13</f>
        <v>0</v>
      </c>
      <c r="G15" s="203" t="e">
        <f>F15/F$2</f>
        <v>#DIV/0!</v>
      </c>
      <c r="H15" s="199"/>
      <c r="I15" s="204">
        <f>I12-I13</f>
        <v>0</v>
      </c>
      <c r="J15" s="203" t="e">
        <f>I15/I$2</f>
        <v>#DIV/0!</v>
      </c>
    </row>
    <row r="16" spans="1:12">
      <c r="B16" s="199"/>
      <c r="C16" s="199"/>
      <c r="D16" s="199"/>
      <c r="E16" s="199"/>
      <c r="F16" s="201"/>
      <c r="G16" s="200"/>
      <c r="H16" s="199"/>
      <c r="I16" s="199"/>
      <c r="J16" s="199"/>
    </row>
    <row r="17" spans="1:10">
      <c r="B17" s="199"/>
      <c r="C17" s="199"/>
      <c r="D17" s="199"/>
      <c r="E17" s="199"/>
      <c r="F17" s="201"/>
      <c r="G17" s="200"/>
      <c r="H17" s="199"/>
      <c r="I17" s="199"/>
      <c r="J17" s="199"/>
    </row>
    <row r="18" spans="1:10">
      <c r="A18" s="202"/>
      <c r="B18" s="199"/>
      <c r="C18" s="199"/>
      <c r="D18" s="199"/>
      <c r="E18" s="199"/>
      <c r="F18" s="201"/>
      <c r="G18" s="200"/>
      <c r="H18" s="199"/>
      <c r="I18" s="199"/>
      <c r="J18" s="199"/>
    </row>
    <row r="19" spans="1:10">
      <c r="F19" s="198"/>
    </row>
    <row r="20" spans="1:10">
      <c r="F20" s="198"/>
    </row>
    <row r="21" spans="1:10">
      <c r="C21" s="198"/>
    </row>
    <row r="22" spans="1:10">
      <c r="F22" s="197"/>
      <c r="G22" s="1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Q Project_Option </vt:lpstr>
      <vt:lpstr>Cost Project</vt:lpstr>
      <vt:lpstr>Cost Runrate</vt:lpstr>
      <vt:lpstr>Final today</vt:lpstr>
      <vt:lpstr>'Cost Project'!Print_Area</vt:lpstr>
      <vt:lpstr>'Cost Runrate'!Print_Area</vt:lpstr>
      <vt:lpstr>'Q Project_Option '!Print_Area</vt:lpstr>
      <vt:lpstr>'Q Project_Option '!Print_Titles</vt:lpstr>
    </vt:vector>
  </TitlesOfParts>
  <Company>SCM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Surached Pongpatom</dc:creator>
  <cp:lastModifiedBy>Oran Ninhun</cp:lastModifiedBy>
  <cp:lastPrinted>2026-03-17T02:57:18Z</cp:lastPrinted>
  <dcterms:created xsi:type="dcterms:W3CDTF">2001-01-29T04:05:09Z</dcterms:created>
  <dcterms:modified xsi:type="dcterms:W3CDTF">2026-05-29T06:46:51Z</dcterms:modified>
</cp:coreProperties>
</file>